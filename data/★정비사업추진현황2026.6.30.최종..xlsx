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★홈페이지관리\26년 2분기\"/>
    </mc:Choice>
  </mc:AlternateContent>
  <xr:revisionPtr revIDLastSave="0" documentId="13_ncr:1_{557CFDE7-A6C8-47BF-AC38-1238FBC2FB0A}" xr6:coauthVersionLast="36" xr6:coauthVersionMax="36" xr10:uidLastSave="{00000000-0000-0000-0000-000000000000}"/>
  <bookViews>
    <workbookView xWindow="28680" yWindow="-120" windowWidth="29040" windowHeight="16440" tabRatio="759" xr2:uid="{00000000-000D-0000-FFFF-FFFF00000000}"/>
  </bookViews>
  <sheets>
    <sheet name="총괄(홈페이지 게시용)" sheetId="37" r:id="rId1"/>
    <sheet name="재개발" sheetId="41" r:id="rId2"/>
    <sheet name="재건축" sheetId="38" r:id="rId3"/>
    <sheet name="가로주택정비" sheetId="40" r:id="rId4"/>
    <sheet name="소규모재건축" sheetId="39" r:id="rId5"/>
  </sheets>
  <definedNames>
    <definedName name="_xlnm._FilterDatabase" localSheetId="3" hidden="1">가로주택정비!$A$3:$R$116</definedName>
    <definedName name="_xlnm._FilterDatabase" localSheetId="4" hidden="1">소규모재건축!$A$3:$T$34</definedName>
    <definedName name="_xlnm._FilterDatabase" localSheetId="1" hidden="1">재개발!$A$3:$U$13</definedName>
    <definedName name="_xlnm._FilterDatabase" localSheetId="2" hidden="1">재건축!$A$3:$DH$25</definedName>
    <definedName name="_xlnm.Print_Area" localSheetId="3">가로주택정비!$A$1:$R$116</definedName>
    <definedName name="_xlnm.Print_Area" localSheetId="4">소규모재건축!$A$1:$T$34</definedName>
    <definedName name="_xlnm.Print_Area" localSheetId="1">재개발!$A$1:$U$13</definedName>
    <definedName name="_xlnm.Print_Area" localSheetId="2">재건축!$A$1:$U$25</definedName>
    <definedName name="_xlnm.Print_Titles" localSheetId="3">가로주택정비!$1:$3</definedName>
    <definedName name="_xlnm.Print_Titles" localSheetId="4">소규모재건축!$1:$3</definedName>
    <definedName name="_xlnm.Print_Titles" localSheetId="1">재개발!$1:$3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37" l="1"/>
  <c r="B20" i="37" l="1"/>
  <c r="E4" i="39"/>
  <c r="A10" i="37" l="1"/>
  <c r="A14" i="37" l="1"/>
  <c r="A2" i="37"/>
  <c r="A6" i="37"/>
  <c r="A18" i="37"/>
</calcChain>
</file>

<file path=xl/sharedStrings.xml><?xml version="1.0" encoding="utf-8"?>
<sst xmlns="http://schemas.openxmlformats.org/spreadsheetml/2006/main" count="1465" uniqueCount="948">
  <si>
    <t>연번</t>
    <phoneticPr fontId="2" type="noConversion"/>
  </si>
  <si>
    <t>정비구역
위치및면적
(단위:㎡)</t>
    <phoneticPr fontId="2" type="noConversion"/>
  </si>
  <si>
    <t>계획 세대수</t>
    <phoneticPr fontId="2" type="noConversion"/>
  </si>
  <si>
    <t>건축계획</t>
    <phoneticPr fontId="2" type="noConversion"/>
  </si>
  <si>
    <t>착공</t>
    <phoneticPr fontId="2" type="noConversion"/>
  </si>
  <si>
    <t>분양
승인</t>
    <phoneticPr fontId="2" type="noConversion"/>
  </si>
  <si>
    <t>조합
해산</t>
    <phoneticPr fontId="2" type="noConversion"/>
  </si>
  <si>
    <t>계</t>
    <phoneticPr fontId="2" type="noConversion"/>
  </si>
  <si>
    <t>임대</t>
    <phoneticPr fontId="2" type="noConversion"/>
  </si>
  <si>
    <t>동수/층</t>
    <phoneticPr fontId="2" type="noConversion"/>
  </si>
  <si>
    <t>건폐율
(%)</t>
    <phoneticPr fontId="2" type="noConversion"/>
  </si>
  <si>
    <t>용적률
(%)</t>
    <phoneticPr fontId="2" type="noConversion"/>
  </si>
  <si>
    <t>인가일자</t>
    <phoneticPr fontId="2" type="noConversion"/>
  </si>
  <si>
    <t>조합장</t>
    <phoneticPr fontId="2" type="noConversion"/>
  </si>
  <si>
    <t>분양</t>
    <phoneticPr fontId="2" type="noConversion"/>
  </si>
  <si>
    <t>조합설립인가</t>
    <phoneticPr fontId="2" type="noConversion"/>
  </si>
  <si>
    <t>구역명</t>
    <phoneticPr fontId="2" type="noConversion"/>
  </si>
  <si>
    <t>추진위원회 
승인일자</t>
    <phoneticPr fontId="2" type="noConversion"/>
  </si>
  <si>
    <t>진행단계</t>
    <phoneticPr fontId="2" type="noConversion"/>
  </si>
  <si>
    <t>정비구역지정</t>
    <phoneticPr fontId="2" type="noConversion"/>
  </si>
  <si>
    <t>40이하</t>
    <phoneticPr fontId="2" type="noConversion"/>
  </si>
  <si>
    <t>-</t>
    <phoneticPr fontId="2" type="noConversion"/>
  </si>
  <si>
    <t>조합 주소
및
연락처(Fax)</t>
    <phoneticPr fontId="2" type="noConversion"/>
  </si>
  <si>
    <t>-</t>
  </si>
  <si>
    <t>사업시행 
인가일자</t>
    <phoneticPr fontId="2" type="noConversion"/>
  </si>
  <si>
    <t>관리처분계획일자</t>
    <phoneticPr fontId="2" type="noConversion"/>
  </si>
  <si>
    <t>송내1-1구역
재건축</t>
    <phoneticPr fontId="2" type="noConversion"/>
  </si>
  <si>
    <t>성곡2-1구역
재건축</t>
    <phoneticPr fontId="2" type="noConversion"/>
  </si>
  <si>
    <t>동수</t>
    <phoneticPr fontId="2" type="noConversion"/>
  </si>
  <si>
    <t>준공
인가</t>
    <phoneticPr fontId="2" type="noConversion"/>
  </si>
  <si>
    <t>재건축사업 추진현황</t>
    <phoneticPr fontId="2" type="noConversion"/>
  </si>
  <si>
    <t xml:space="preserve">※ 소규모 정비사업 현황은 조합설립인가를 득한 경우에 한하여 공개하고 있습니다.
※ 사업진행 과정에서 건축계획 및 세대수 등이 변경될 수 있습니다. </t>
    <phoneticPr fontId="2" type="noConversion"/>
  </si>
  <si>
    <t>조합설립인가</t>
  </si>
  <si>
    <t>T. 674-0361
까치로 124번길 50 미성아파트 관리사무소</t>
    <phoneticPr fontId="2" type="noConversion"/>
  </si>
  <si>
    <t>소규모재건축사업 추진현황</t>
    <phoneticPr fontId="2" type="noConversion"/>
  </si>
  <si>
    <t>1동</t>
  </si>
  <si>
    <t>서영심</t>
  </si>
  <si>
    <t>14.02.17.
18.09.03.</t>
    <phoneticPr fontId="2" type="noConversion"/>
  </si>
  <si>
    <t>17.12.26.</t>
    <phoneticPr fontId="2" type="noConversion"/>
  </si>
  <si>
    <t>18.07.11.</t>
    <phoneticPr fontId="2" type="noConversion"/>
  </si>
  <si>
    <t>07.07.06.</t>
    <phoneticPr fontId="2" type="noConversion"/>
  </si>
  <si>
    <t>하진명</t>
  </si>
  <si>
    <t>조합설립인가
/지정개발자</t>
    <phoneticPr fontId="2" type="noConversion"/>
  </si>
  <si>
    <t>조합장/
사업시행자</t>
    <phoneticPr fontId="2" type="noConversion"/>
  </si>
  <si>
    <t>19.05.08.</t>
    <phoneticPr fontId="2" type="noConversion"/>
  </si>
  <si>
    <t>T. 346-3310
(345-1747)</t>
  </si>
  <si>
    <t>역곡동 75-3
(16,940)</t>
  </si>
  <si>
    <t>09.07.23.</t>
  </si>
  <si>
    <t>심곡본3-1구역
(롯데아파트)</t>
  </si>
  <si>
    <t>심곡본3-2구역
(극동,태경아파트)</t>
  </si>
  <si>
    <t>괴안3-1구역
(조공1차아파트)</t>
  </si>
  <si>
    <t>소사본3-2구역
(한신아파트)</t>
  </si>
  <si>
    <t>괴안3-2구역
(조공2차아파트)</t>
  </si>
  <si>
    <t>송내3-1구역
(동신아파트)</t>
  </si>
  <si>
    <t>고강3-1구역
(고강아파트)</t>
  </si>
  <si>
    <t>심곡본동 617-11
(22,225)</t>
    <phoneticPr fontId="2" type="noConversion"/>
  </si>
  <si>
    <t>심곡본동 566-1
(29,174)</t>
    <phoneticPr fontId="2" type="noConversion"/>
  </si>
  <si>
    <t>괴안동 36
(14,774)</t>
    <phoneticPr fontId="2" type="noConversion"/>
  </si>
  <si>
    <t>소사본 277-12 
(40,377)</t>
    <phoneticPr fontId="2" type="noConversion"/>
  </si>
  <si>
    <t>괴안동 33
(27,634)</t>
    <phoneticPr fontId="2" type="noConversion"/>
  </si>
  <si>
    <t>송내동 441-8
(17,767)</t>
    <phoneticPr fontId="2" type="noConversion"/>
  </si>
  <si>
    <t>사업시행계획인가일자</t>
    <phoneticPr fontId="2" type="noConversion"/>
  </si>
  <si>
    <t>정비예정구역</t>
    <phoneticPr fontId="2" type="noConversion"/>
  </si>
  <si>
    <t>사업시행계획인가일자
(관리처분포함)</t>
    <phoneticPr fontId="2" type="noConversion"/>
  </si>
  <si>
    <t>사업시행계획인가</t>
    <phoneticPr fontId="2" type="noConversion"/>
  </si>
  <si>
    <t>고강동 246-5
(19,064)</t>
    <phoneticPr fontId="2" type="noConversion"/>
  </si>
  <si>
    <t xml:space="preserve">※ 사업진행 과정에서 건축계획 및 세대수 등이 변경될 수 있습니다. </t>
    <phoneticPr fontId="2" type="noConversion"/>
  </si>
  <si>
    <t>허수연</t>
  </si>
  <si>
    <t>준공인가</t>
    <phoneticPr fontId="2" type="noConversion"/>
  </si>
  <si>
    <t>박신영</t>
  </si>
  <si>
    <t>가로주택정비사업 추진현황</t>
    <phoneticPr fontId="2" type="noConversion"/>
  </si>
  <si>
    <t>삼우3차아파트</t>
  </si>
  <si>
    <t>국상태</t>
  </si>
  <si>
    <t>삼익아파트1동</t>
  </si>
  <si>
    <t>송내동 580
(5,312.5)</t>
  </si>
  <si>
    <t>삼신아파트</t>
  </si>
  <si>
    <t>대현청실 외2</t>
  </si>
  <si>
    <t>소사본동 55-8
(1,705.8)</t>
  </si>
  <si>
    <t>권숙희</t>
  </si>
  <si>
    <t>장덕재</t>
  </si>
  <si>
    <t>로얄아파트</t>
  </si>
  <si>
    <t>서울특별시 강남구 테헤란로 134, 22층</t>
  </si>
  <si>
    <t>원종3-1구역
(원종주공)</t>
    <phoneticPr fontId="2" type="noConversion"/>
  </si>
  <si>
    <t>원종동 129-19번지 일원
(25,419)</t>
    <phoneticPr fontId="2" type="noConversion"/>
  </si>
  <si>
    <t>소사본3-1구역
(성지아파트)</t>
    <phoneticPr fontId="2" type="noConversion"/>
  </si>
  <si>
    <t>소사본동 91-68번지 일원
(9,435)</t>
    <phoneticPr fontId="2" type="noConversion"/>
  </si>
  <si>
    <t>약대3-1구역
(현대아파트)</t>
    <phoneticPr fontId="2" type="noConversion"/>
  </si>
  <si>
    <t>약대동 169-6번지
일원
(15,363)</t>
    <phoneticPr fontId="2" type="noConversion"/>
  </si>
  <si>
    <t>송내3-2구역
(현대아파트)</t>
    <phoneticPr fontId="2" type="noConversion"/>
  </si>
  <si>
    <t>송내동 450-1번지 일원
(22,373)</t>
    <phoneticPr fontId="2" type="noConversion"/>
  </si>
  <si>
    <t>원종3-3구역
(동진아파트)</t>
    <phoneticPr fontId="2" type="noConversion"/>
  </si>
  <si>
    <t>원종동180-3번지 일원
(12,117)</t>
    <phoneticPr fontId="2" type="noConversion"/>
  </si>
  <si>
    <t>정비구역
위치 및 면적
(단위:㎡)</t>
    <phoneticPr fontId="2" type="noConversion"/>
  </si>
  <si>
    <t>조합 연락처 및 
사무실주소</t>
    <phoneticPr fontId="2" type="noConversion"/>
  </si>
  <si>
    <t>인가일자
(최종변경일)</t>
    <phoneticPr fontId="2" type="noConversion"/>
  </si>
  <si>
    <t>정비구역 지정일자
(최종변경일)</t>
    <phoneticPr fontId="2" type="noConversion"/>
  </si>
  <si>
    <t>관리처분계획
인가일자
(최종변경일)</t>
    <phoneticPr fontId="2" type="noConversion"/>
  </si>
  <si>
    <t>준공
인가일자</t>
    <phoneticPr fontId="2" type="noConversion"/>
  </si>
  <si>
    <t>분양
승인일자</t>
    <phoneticPr fontId="2" type="noConversion"/>
  </si>
  <si>
    <t>착공
일자</t>
    <phoneticPr fontId="2" type="noConversion"/>
  </si>
  <si>
    <t>사업시행계획
인가일자
(최종변경일)</t>
    <phoneticPr fontId="2" type="noConversion"/>
  </si>
  <si>
    <t>계수.범박구역
재개발</t>
  </si>
  <si>
    <t>37동/29층</t>
  </si>
  <si>
    <t>06.05.23.</t>
  </si>
  <si>
    <t>정진성</t>
  </si>
  <si>
    <t>19.08.27.</t>
  </si>
  <si>
    <t>19.08.28.</t>
  </si>
  <si>
    <t>괴안3D구역
재개발</t>
  </si>
  <si>
    <t>342-5156
경인로 536번길 57, 5층</t>
  </si>
  <si>
    <t>6동/35층</t>
  </si>
  <si>
    <t>09.08.21.</t>
  </si>
  <si>
    <t>소사3구역 
재개발</t>
  </si>
  <si>
    <t>13동/38층</t>
  </si>
  <si>
    <t>06.10.09.</t>
  </si>
  <si>
    <t>김찬종</t>
  </si>
  <si>
    <t>소사본1-1구역
재개발</t>
  </si>
  <si>
    <t>06.11.17.</t>
  </si>
  <si>
    <t>윤광수</t>
  </si>
  <si>
    <t>심곡3-1구역
재개발</t>
  </si>
  <si>
    <t>(미구성)</t>
  </si>
  <si>
    <t>1동/39층</t>
  </si>
  <si>
    <t>19.11.25.</t>
  </si>
  <si>
    <t>소사1-1구역
재개발</t>
  </si>
  <si>
    <t>06.12.15.</t>
  </si>
  <si>
    <t>원종동 한아름아파트</t>
  </si>
  <si>
    <t>20.07.06.</t>
    <phoneticPr fontId="2" type="noConversion"/>
  </si>
  <si>
    <t>괴안동 164-6지 일원
(16,698)</t>
    <phoneticPr fontId="2" type="noConversion"/>
  </si>
  <si>
    <t>고강동 327-7번지 일원
(14,690)</t>
    <phoneticPr fontId="2" type="noConversion"/>
  </si>
  <si>
    <t>괴안동 204-16번지 일원
(35,064)</t>
    <phoneticPr fontId="2" type="noConversion"/>
  </si>
  <si>
    <t>오정동 139-5번지 외 12필지</t>
  </si>
  <si>
    <t>최은경</t>
  </si>
  <si>
    <t>박정석</t>
  </si>
  <si>
    <t>소사본동 283-46 일원</t>
  </si>
  <si>
    <t>김봉현</t>
  </si>
  <si>
    <t>소사본동 52-25, 
중앙연립 나동 305호</t>
  </si>
  <si>
    <t>전수인</t>
  </si>
  <si>
    <t>고윤주</t>
  </si>
  <si>
    <t>유재욱</t>
  </si>
  <si>
    <t>신민철</t>
  </si>
  <si>
    <t>21.11.10</t>
    <phoneticPr fontId="2" type="noConversion"/>
  </si>
  <si>
    <t>T. 664-5101
(664-5103)
송내대로 30번길 82, 4층</t>
    <phoneticPr fontId="2" type="noConversion"/>
  </si>
  <si>
    <t>고광복</t>
    <phoneticPr fontId="2" type="noConversion"/>
  </si>
  <si>
    <t>17.03.14.
(19.07.15)</t>
    <phoneticPr fontId="2" type="noConversion"/>
  </si>
  <si>
    <t>역곡1-2구역
(일두아파트)</t>
  </si>
  <si>
    <t>괴안3-4구역
(염광아파트)</t>
    <phoneticPr fontId="2" type="noConversion"/>
  </si>
  <si>
    <t>고강3-2구역
(미도아파트)</t>
    <phoneticPr fontId="2" type="noConversion"/>
  </si>
  <si>
    <t>괴안3-5구역
(삼익세라믹아파트)</t>
    <phoneticPr fontId="2" type="noConversion"/>
  </si>
  <si>
    <t>원종3-2구역
(동문1차아파트)</t>
    <phoneticPr fontId="2" type="noConversion"/>
  </si>
  <si>
    <t>원종동 70-1번지 일원
(17,590)</t>
    <phoneticPr fontId="2" type="noConversion"/>
  </si>
  <si>
    <t>괴안3-3구역
(삼익3차아파트)</t>
    <phoneticPr fontId="2" type="noConversion"/>
  </si>
  <si>
    <t>괴안동 204-1번지 일원(35,434)</t>
    <phoneticPr fontId="2" type="noConversion"/>
  </si>
  <si>
    <t>23.08.24.</t>
    <phoneticPr fontId="2" type="noConversion"/>
  </si>
  <si>
    <t>송내1동 338 일원
(42,613.5)</t>
    <phoneticPr fontId="2" type="noConversion"/>
  </si>
  <si>
    <t>원종동 352 일원
(17,396)</t>
    <phoneticPr fontId="2" type="noConversion"/>
  </si>
  <si>
    <t>12동/23층</t>
    <phoneticPr fontId="2" type="noConversion"/>
  </si>
  <si>
    <t>7동/12층</t>
    <phoneticPr fontId="2" type="noConversion"/>
  </si>
  <si>
    <t>250이하</t>
    <phoneticPr fontId="2" type="noConversion"/>
  </si>
  <si>
    <t>강은혜</t>
    <phoneticPr fontId="2" type="noConversion"/>
  </si>
  <si>
    <t>24.1.19.</t>
    <phoneticPr fontId="2" type="noConversion"/>
  </si>
  <si>
    <t>345-4472
범안로 133, 301</t>
  </si>
  <si>
    <t>계수동4-43번지 일원
(295,894.8)</t>
  </si>
  <si>
    <t>09.10.26.
(23.05.02.)</t>
  </si>
  <si>
    <t>10.05.31.
(22.9.13.)</t>
  </si>
  <si>
    <t>17.01.31.
(23.6.19.)</t>
  </si>
  <si>
    <t>24.01.15.</t>
  </si>
  <si>
    <t>24.11.09.</t>
  </si>
  <si>
    <t>조합해산</t>
  </si>
  <si>
    <t>19.11.05.
(24.9.12.)</t>
  </si>
  <si>
    <t>24.12.18.</t>
  </si>
  <si>
    <t>착공</t>
  </si>
  <si>
    <t>22.06.15</t>
  </si>
  <si>
    <t>이재순</t>
  </si>
  <si>
    <t>14.06.30.</t>
  </si>
  <si>
    <t>소사본동 88-39번지 일원
(45,407.5)</t>
  </si>
  <si>
    <t>7동/49층</t>
  </si>
  <si>
    <t>09.05.18.
(24.09.02.)</t>
  </si>
  <si>
    <t>24.02.05</t>
  </si>
  <si>
    <t>심곡동 194번지 일원
(4,413.2)</t>
  </si>
  <si>
    <t>도당1-1구역
재개발</t>
  </si>
  <si>
    <t>송왕호</t>
  </si>
  <si>
    <t>심곡본동 제1구역 재개발</t>
  </si>
  <si>
    <t>심곡본동 804번지 일원
(19,657.7)</t>
  </si>
  <si>
    <t>5동/20층</t>
  </si>
  <si>
    <t>해바라기연립</t>
    <phoneticPr fontId="2" type="noConversion"/>
  </si>
  <si>
    <t>T. 656-0477
심곡본동 572-12 지층</t>
    <phoneticPr fontId="2" type="noConversion"/>
  </si>
  <si>
    <t>송내동 
598-3번지
(2,784)</t>
    <phoneticPr fontId="2" type="noConversion"/>
  </si>
  <si>
    <t>1동/15층</t>
    <phoneticPr fontId="2" type="noConversion"/>
  </si>
  <si>
    <t>14.11.20.</t>
    <phoneticPr fontId="2" type="noConversion"/>
  </si>
  <si>
    <t>15.09.03.
18.09.21.</t>
    <phoneticPr fontId="2" type="noConversion"/>
  </si>
  <si>
    <t>강인경</t>
    <phoneticPr fontId="2" type="noConversion"/>
  </si>
  <si>
    <t>16.12.01.</t>
    <phoneticPr fontId="2" type="noConversion"/>
  </si>
  <si>
    <t>17.11.13.</t>
    <phoneticPr fontId="2" type="noConversion"/>
  </si>
  <si>
    <t>18.09.17.</t>
    <phoneticPr fontId="2" type="noConversion"/>
  </si>
  <si>
    <t>20.06.29.</t>
    <phoneticPr fontId="2" type="noConversion"/>
  </si>
  <si>
    <t>20.06.15.</t>
    <phoneticPr fontId="2" type="noConversion"/>
  </si>
  <si>
    <t>22.10.11.</t>
    <phoneticPr fontId="2" type="noConversion"/>
  </si>
  <si>
    <t>삼협연립 및
단독주택</t>
  </si>
  <si>
    <t>T. 655-8373
원미로 151-5,
2층</t>
    <phoneticPr fontId="2" type="noConversion"/>
  </si>
  <si>
    <t>원미동 151-6번지 일원
(7,432.5)</t>
    <phoneticPr fontId="2" type="noConversion"/>
  </si>
  <si>
    <t>3동/25층</t>
    <phoneticPr fontId="2" type="noConversion"/>
  </si>
  <si>
    <t>04.01.08.</t>
    <phoneticPr fontId="2" type="noConversion"/>
  </si>
  <si>
    <t>04.02.26.
17.03.22.</t>
    <phoneticPr fontId="2" type="noConversion"/>
  </si>
  <si>
    <t>이영희</t>
  </si>
  <si>
    <t>05.07.13.
17.09.25.</t>
    <phoneticPr fontId="2" type="noConversion"/>
  </si>
  <si>
    <t>18.02.26.</t>
    <phoneticPr fontId="2" type="noConversion"/>
  </si>
  <si>
    <t>19.03.26.</t>
    <phoneticPr fontId="2" type="noConversion"/>
  </si>
  <si>
    <t>19.04.18.</t>
    <phoneticPr fontId="2" type="noConversion"/>
  </si>
  <si>
    <t>21.11.26.</t>
    <phoneticPr fontId="2" type="noConversion"/>
  </si>
  <si>
    <t>23.03.02.</t>
    <phoneticPr fontId="2" type="noConversion"/>
  </si>
  <si>
    <t>광희아파트</t>
    <phoneticPr fontId="2" type="noConversion"/>
  </si>
  <si>
    <t>T. 664-6799
심곡본동 702-7, 201호</t>
    <phoneticPr fontId="2" type="noConversion"/>
  </si>
  <si>
    <t>2동/20층</t>
    <phoneticPr fontId="2" type="noConversion"/>
  </si>
  <si>
    <t>15.05.04.</t>
    <phoneticPr fontId="2" type="noConversion"/>
  </si>
  <si>
    <t>16.08.19.</t>
    <phoneticPr fontId="2" type="noConversion"/>
  </si>
  <si>
    <t>김곤형</t>
    <phoneticPr fontId="2" type="noConversion"/>
  </si>
  <si>
    <t>21.08.05.</t>
    <phoneticPr fontId="2" type="noConversion"/>
  </si>
  <si>
    <t>(사업시행계획에 포함)</t>
    <phoneticPr fontId="2" type="noConversion"/>
  </si>
  <si>
    <t>오건아파트</t>
    <phoneticPr fontId="2" type="noConversion"/>
  </si>
  <si>
    <t>T. 679-7421
원종동 231-7, 3층</t>
    <phoneticPr fontId="2" type="noConversion"/>
  </si>
  <si>
    <t>원종동 159-1번지
(3,958)</t>
    <phoneticPr fontId="2" type="noConversion"/>
  </si>
  <si>
    <t>1동/14층</t>
    <phoneticPr fontId="2" type="noConversion"/>
  </si>
  <si>
    <t>13.11.25.</t>
    <phoneticPr fontId="2" type="noConversion"/>
  </si>
  <si>
    <t>16.11.18.</t>
    <phoneticPr fontId="2" type="noConversion"/>
  </si>
  <si>
    <t>진일국</t>
    <phoneticPr fontId="2" type="noConversion"/>
  </si>
  <si>
    <t>19.05.30.</t>
    <phoneticPr fontId="2" type="noConversion"/>
  </si>
  <si>
    <t>20.01.16.</t>
    <phoneticPr fontId="2" type="noConversion"/>
  </si>
  <si>
    <t>20.12.04.</t>
    <phoneticPr fontId="2" type="noConversion"/>
  </si>
  <si>
    <t>22.05.30.</t>
    <phoneticPr fontId="2" type="noConversion"/>
  </si>
  <si>
    <t>금호아파트</t>
    <phoneticPr fontId="2" type="noConversion"/>
  </si>
  <si>
    <t>T. 343-2524
괴안동 130-18, ,2층</t>
    <phoneticPr fontId="2" type="noConversion"/>
  </si>
  <si>
    <t>괴안동 167-10번지 일원
(2,369)</t>
    <phoneticPr fontId="2" type="noConversion"/>
  </si>
  <si>
    <t>1동/13층</t>
    <phoneticPr fontId="2" type="noConversion"/>
  </si>
  <si>
    <t>15.06.29.</t>
    <phoneticPr fontId="2" type="noConversion"/>
  </si>
  <si>
    <t>17.01.12.</t>
    <phoneticPr fontId="2" type="noConversion"/>
  </si>
  <si>
    <t>김영복</t>
    <phoneticPr fontId="2" type="noConversion"/>
  </si>
  <si>
    <t>17.10.30.</t>
    <phoneticPr fontId="2" type="noConversion"/>
  </si>
  <si>
    <t>18.03.19.</t>
    <phoneticPr fontId="2" type="noConversion"/>
  </si>
  <si>
    <t>18.06.25.</t>
    <phoneticPr fontId="2" type="noConversion"/>
  </si>
  <si>
    <t>20.01.23.</t>
    <phoneticPr fontId="2" type="noConversion"/>
  </si>
  <si>
    <t>괴안동 삼협연립</t>
    <phoneticPr fontId="2" type="noConversion"/>
  </si>
  <si>
    <t>T.347-0569
괴안동 119-18, 3동 103호</t>
    <phoneticPr fontId="2" type="noConversion"/>
  </si>
  <si>
    <t>괴안동 119-18 일원
(2,549.9)</t>
    <phoneticPr fontId="2" type="noConversion"/>
  </si>
  <si>
    <t>- (아파트) 1동/15층
- (다세대) 3동/5층</t>
    <phoneticPr fontId="2" type="noConversion"/>
  </si>
  <si>
    <t>- (아파트) 27.72
- (다세대) 48.85</t>
    <phoneticPr fontId="2" type="noConversion"/>
  </si>
  <si>
    <t>- (아파트) 249.88
- (다세대) 168.71</t>
    <phoneticPr fontId="2" type="noConversion"/>
  </si>
  <si>
    <t>19.08.19.</t>
  </si>
  <si>
    <t>이경구</t>
  </si>
  <si>
    <t>21.11.10.</t>
    <phoneticPr fontId="2" type="noConversion"/>
  </si>
  <si>
    <t>화성연립</t>
  </si>
  <si>
    <t>범안로 8번길 11, 화성연립
E동 102호</t>
    <phoneticPr fontId="2" type="noConversion"/>
  </si>
  <si>
    <t>1동/11층</t>
    <phoneticPr fontId="2" type="noConversion"/>
  </si>
  <si>
    <t>16.06.16.</t>
    <phoneticPr fontId="2" type="noConversion"/>
  </si>
  <si>
    <t>18.04.25.</t>
    <phoneticPr fontId="2" type="noConversion"/>
  </si>
  <si>
    <t>최수현</t>
    <phoneticPr fontId="2" type="noConversion"/>
  </si>
  <si>
    <t>23.08.31.</t>
    <phoneticPr fontId="2" type="noConversion"/>
  </si>
  <si>
    <t>한도아파트</t>
    <phoneticPr fontId="2" type="noConversion"/>
  </si>
  <si>
    <t>T.345-0184
역곡동 부일로 634, 2층</t>
    <phoneticPr fontId="2" type="noConversion"/>
  </si>
  <si>
    <t>역곡동 25-32
(3,361.6)</t>
    <phoneticPr fontId="2" type="noConversion"/>
  </si>
  <si>
    <t>2동/24층</t>
    <phoneticPr fontId="2" type="noConversion"/>
  </si>
  <si>
    <t>04.10.11.
21.02.05.</t>
    <phoneticPr fontId="2" type="noConversion"/>
  </si>
  <si>
    <t>김환식</t>
    <phoneticPr fontId="2" type="noConversion"/>
  </si>
  <si>
    <t>건부아파트</t>
    <phoneticPr fontId="2" type="noConversion"/>
  </si>
  <si>
    <t>원미구 부천로 141, 202, 203호</t>
    <phoneticPr fontId="2" type="noConversion"/>
  </si>
  <si>
    <t>심곡동 95-1
(2,845.5)</t>
    <phoneticPr fontId="2" type="noConversion"/>
  </si>
  <si>
    <t>1동/20층</t>
    <phoneticPr fontId="2" type="noConversion"/>
  </si>
  <si>
    <t>18.10.31.</t>
    <phoneticPr fontId="2" type="noConversion"/>
  </si>
  <si>
    <t>송길호</t>
    <phoneticPr fontId="2" type="noConversion"/>
  </si>
  <si>
    <t>19.11.29.</t>
    <phoneticPr fontId="2" type="noConversion"/>
  </si>
  <si>
    <t>21.07.15.</t>
    <phoneticPr fontId="2" type="noConversion"/>
  </si>
  <si>
    <t>2023.11.13.</t>
    <phoneticPr fontId="2" type="noConversion"/>
  </si>
  <si>
    <t>무궁화연립</t>
  </si>
  <si>
    <t>1동/15층</t>
  </si>
  <si>
    <t>19.04.03.</t>
  </si>
  <si>
    <t>진은성</t>
    <phoneticPr fontId="2" type="noConversion"/>
  </si>
  <si>
    <t>장미아파트</t>
  </si>
  <si>
    <t>T.674-7242
원종동 369 관리사무소</t>
    <phoneticPr fontId="2" type="noConversion"/>
  </si>
  <si>
    <t>3동/12층</t>
    <phoneticPr fontId="2" type="noConversion"/>
  </si>
  <si>
    <t>19.04.01.</t>
    <phoneticPr fontId="2" type="noConversion"/>
  </si>
  <si>
    <t>23.06.22.</t>
    <phoneticPr fontId="2" type="noConversion"/>
  </si>
  <si>
    <t>청암아파트</t>
  </si>
  <si>
    <t>T.341-9298
괴안동 124번지정동빌딩 202호</t>
    <phoneticPr fontId="2" type="noConversion"/>
  </si>
  <si>
    <t>2동/22층</t>
    <phoneticPr fontId="2" type="noConversion"/>
  </si>
  <si>
    <t>19.03.21.</t>
  </si>
  <si>
    <t>박은주</t>
  </si>
  <si>
    <t>21.09.06.</t>
    <phoneticPr fontId="2" type="noConversion"/>
  </si>
  <si>
    <t>23.08.23.</t>
    <phoneticPr fontId="2" type="noConversion"/>
  </si>
  <si>
    <t>23.12.21.</t>
    <phoneticPr fontId="2" type="noConversion"/>
  </si>
  <si>
    <t>국민연립</t>
  </si>
  <si>
    <t>원미로 144번길 16, 13동 201호</t>
  </si>
  <si>
    <t>21.02.03.</t>
  </si>
  <si>
    <t>신효환</t>
  </si>
  <si>
    <t>욱일6차아파트</t>
  </si>
  <si>
    <t>원종동 296-1 태산상가 3층 2-1호</t>
  </si>
  <si>
    <t>4동/12층</t>
    <phoneticPr fontId="2" type="noConversion"/>
  </si>
  <si>
    <t>19.12.12.</t>
    <phoneticPr fontId="2" type="noConversion"/>
  </si>
  <si>
    <t>22.04.13.</t>
    <phoneticPr fontId="2" type="noConversion"/>
  </si>
  <si>
    <t>한아름아파트 5차</t>
    <phoneticPr fontId="2" type="noConversion"/>
  </si>
  <si>
    <t>경인로로562번길21</t>
    <phoneticPr fontId="2" type="noConversion"/>
  </si>
  <si>
    <t>괴안동 184,184-1
(2,381.30)</t>
    <phoneticPr fontId="2" type="noConversion"/>
  </si>
  <si>
    <t>2동/15층</t>
    <phoneticPr fontId="2" type="noConversion"/>
  </si>
  <si>
    <t>19.11.4.</t>
    <phoneticPr fontId="2" type="noConversion"/>
  </si>
  <si>
    <t>황의성</t>
    <phoneticPr fontId="2" type="noConversion"/>
  </si>
  <si>
    <t>21.10.13.</t>
    <phoneticPr fontId="2" type="noConversion"/>
  </si>
  <si>
    <t>22.9.29.</t>
    <phoneticPr fontId="2" type="noConversion"/>
  </si>
  <si>
    <t>24.9.20.</t>
    <phoneticPr fontId="2" type="noConversion"/>
  </si>
  <si>
    <t>준공</t>
    <phoneticPr fontId="2" type="noConversion"/>
  </si>
  <si>
    <t>대흥연립</t>
  </si>
  <si>
    <t xml:space="preserve">소사구 부일로 611-5 , 101호 (소사동, 성수빌라)  </t>
    <phoneticPr fontId="2" type="noConversion"/>
  </si>
  <si>
    <t>3동/5층</t>
    <phoneticPr fontId="2" type="noConversion"/>
  </si>
  <si>
    <t>20.2.10.</t>
  </si>
  <si>
    <t>박남국</t>
  </si>
  <si>
    <t>21.08.26</t>
    <phoneticPr fontId="2" type="noConversion"/>
  </si>
  <si>
    <t>23.8.14.</t>
    <phoneticPr fontId="2" type="noConversion"/>
  </si>
  <si>
    <t>한아름아파트</t>
    <phoneticPr fontId="2" type="noConversion"/>
  </si>
  <si>
    <t>T.347-0569
괴안동 3-16 한아름아파트 관리사무소</t>
    <phoneticPr fontId="2" type="noConversion"/>
  </si>
  <si>
    <t>괴안동 3-16
(1,686.5)</t>
    <phoneticPr fontId="2" type="noConversion"/>
  </si>
  <si>
    <t>19.09.16.</t>
    <phoneticPr fontId="2" type="noConversion"/>
  </si>
  <si>
    <t>박재석</t>
    <phoneticPr fontId="2" type="noConversion"/>
  </si>
  <si>
    <t>대진빌라</t>
    <phoneticPr fontId="2" type="noConversion"/>
  </si>
  <si>
    <t>T.654-4430
소사구 성주로 168, 흥일빌딩 3층</t>
    <phoneticPr fontId="2" type="noConversion"/>
  </si>
  <si>
    <t>심곡본동 803
(7,464.5)</t>
    <phoneticPr fontId="2" type="noConversion"/>
  </si>
  <si>
    <t>3동/14층</t>
    <phoneticPr fontId="2" type="noConversion"/>
  </si>
  <si>
    <t>20.12.23.</t>
    <phoneticPr fontId="2" type="noConversion"/>
  </si>
  <si>
    <t>신수철</t>
    <phoneticPr fontId="2" type="noConversion"/>
  </si>
  <si>
    <t>23.04.07</t>
    <phoneticPr fontId="2" type="noConversion"/>
  </si>
  <si>
    <t>진양아파트</t>
  </si>
  <si>
    <t>T.346-8798
소사구 소사본동 210, 1층</t>
    <phoneticPr fontId="2" type="noConversion"/>
  </si>
  <si>
    <t>20.4.27.</t>
  </si>
  <si>
    <t>22.07.15</t>
    <phoneticPr fontId="2" type="noConversion"/>
  </si>
  <si>
    <t>23.06.02.</t>
    <phoneticPr fontId="2" type="noConversion"/>
  </si>
  <si>
    <t>원미동 상가아파트</t>
    <phoneticPr fontId="2" type="noConversion"/>
  </si>
  <si>
    <t>T.719-4051
원미로 143번길 30, 1층</t>
    <phoneticPr fontId="2" type="noConversion"/>
  </si>
  <si>
    <t>원미동 89-1
(1,531.9)</t>
    <phoneticPr fontId="2" type="noConversion"/>
  </si>
  <si>
    <t>1동/10층</t>
    <phoneticPr fontId="2" type="noConversion"/>
  </si>
  <si>
    <t>21.06.22</t>
    <phoneticPr fontId="2" type="noConversion"/>
  </si>
  <si>
    <t>김경수</t>
    <phoneticPr fontId="2" type="noConversion"/>
  </si>
  <si>
    <t>23.11.01.</t>
    <phoneticPr fontId="2" type="noConversion"/>
  </si>
  <si>
    <t>송내동
성우아파트</t>
    <phoneticPr fontId="2" type="noConversion"/>
  </si>
  <si>
    <t>소사구 경인로 37, 신진빌딩 501호</t>
    <phoneticPr fontId="2" type="noConversion"/>
  </si>
  <si>
    <t>송내동 365-1
(5,036)</t>
    <phoneticPr fontId="2" type="noConversion"/>
  </si>
  <si>
    <t>21.06.15.</t>
    <phoneticPr fontId="2" type="noConversion"/>
  </si>
  <si>
    <t>백충원</t>
    <phoneticPr fontId="2" type="noConversion"/>
  </si>
  <si>
    <t>24.06.25.</t>
    <phoneticPr fontId="2" type="noConversion"/>
  </si>
  <si>
    <t>송내동
건우3차아파트</t>
    <phoneticPr fontId="2" type="noConversion"/>
  </si>
  <si>
    <t>소사구 경인로60번길 18, 2층(송내동)</t>
    <phoneticPr fontId="2" type="noConversion"/>
  </si>
  <si>
    <t>송내동 328-1
(1,408.3)</t>
    <phoneticPr fontId="2" type="noConversion"/>
  </si>
  <si>
    <t>21.06.09.</t>
    <phoneticPr fontId="2" type="noConversion"/>
  </si>
  <si>
    <t>박진광</t>
    <phoneticPr fontId="2" type="noConversion"/>
  </si>
  <si>
    <t>24.09.10.</t>
    <phoneticPr fontId="2" type="noConversion"/>
  </si>
  <si>
    <t>건우2차,동신2차
아파트</t>
    <phoneticPr fontId="2" type="noConversion"/>
  </si>
  <si>
    <t>소사구 경인로29번길 9, 지하 1층</t>
    <phoneticPr fontId="2" type="noConversion"/>
  </si>
  <si>
    <t>송내동 331-4
외 2
(7,037.6)</t>
    <phoneticPr fontId="2" type="noConversion"/>
  </si>
  <si>
    <t>21.06.17.</t>
    <phoneticPr fontId="2" type="noConversion"/>
  </si>
  <si>
    <t>김우일</t>
    <phoneticPr fontId="2" type="noConversion"/>
  </si>
  <si>
    <t>소라아파트</t>
    <phoneticPr fontId="2" type="noConversion"/>
  </si>
  <si>
    <t>소사본동 190-3 소라아파트 경비실</t>
    <phoneticPr fontId="2" type="noConversion"/>
  </si>
  <si>
    <t>소사본동 190-3
(3,439.0)</t>
    <phoneticPr fontId="2" type="noConversion"/>
  </si>
  <si>
    <t>이양희</t>
    <phoneticPr fontId="2" type="noConversion"/>
  </si>
  <si>
    <t>역곡동 현대아파트</t>
    <phoneticPr fontId="2" type="noConversion"/>
  </si>
  <si>
    <t>역곡동 현대아파트 내 관리사무실</t>
    <phoneticPr fontId="2" type="noConversion"/>
  </si>
  <si>
    <t>22.03.24.</t>
    <phoneticPr fontId="2" type="noConversion"/>
  </si>
  <si>
    <t>김재인</t>
    <phoneticPr fontId="2" type="noConversion"/>
  </si>
  <si>
    <t>문화아파트</t>
    <phoneticPr fontId="2" type="noConversion"/>
  </si>
  <si>
    <t>문화아파트
103호</t>
    <phoneticPr fontId="2" type="noConversion"/>
  </si>
  <si>
    <t>원종동 산27-1
(2,380)</t>
    <phoneticPr fontId="2" type="noConversion"/>
  </si>
  <si>
    <t>22.06.16.</t>
    <phoneticPr fontId="2" type="noConversion"/>
  </si>
  <si>
    <t>김성관</t>
    <phoneticPr fontId="2" type="noConversion"/>
  </si>
  <si>
    <t>괴안동 
현대허니문아파트</t>
    <phoneticPr fontId="2" type="noConversion"/>
  </si>
  <si>
    <t>괴안동 현대허니문아파트 내 관리사무소</t>
    <phoneticPr fontId="2" type="noConversion"/>
  </si>
  <si>
    <t>괴안동 산15번지</t>
    <phoneticPr fontId="2" type="noConversion"/>
  </si>
  <si>
    <t>22.08.04.</t>
    <phoneticPr fontId="2" type="noConversion"/>
  </si>
  <si>
    <t>삼양연립</t>
    <phoneticPr fontId="2" type="noConversion"/>
  </si>
  <si>
    <t>오정구 역곡로 471번길 64, 라동 201호</t>
    <phoneticPr fontId="2" type="noConversion"/>
  </si>
  <si>
    <t>고강1동 309-3 외 3
(3,205.6)</t>
    <phoneticPr fontId="2" type="noConversion"/>
  </si>
  <si>
    <t>04.05.19.
18.11.12.</t>
    <phoneticPr fontId="2" type="noConversion"/>
  </si>
  <si>
    <t>류재현</t>
    <phoneticPr fontId="2" type="noConversion"/>
  </si>
  <si>
    <t>욱일연립</t>
    <phoneticPr fontId="2" type="noConversion"/>
  </si>
  <si>
    <t>06.03.17.</t>
    <phoneticPr fontId="2" type="noConversion"/>
  </si>
  <si>
    <t>괴안동 40
(1,596)</t>
    <phoneticPr fontId="2" type="noConversion"/>
  </si>
  <si>
    <t>심곡동 116-1
(1,744.8)</t>
    <phoneticPr fontId="2" type="noConversion"/>
  </si>
  <si>
    <t>원종동 369
(5,772.0)</t>
    <phoneticPr fontId="2" type="noConversion"/>
  </si>
  <si>
    <t>괴안동 91-1, 91-2
(6,166.4)</t>
    <phoneticPr fontId="2" type="noConversion"/>
  </si>
  <si>
    <t>원미동 167-1
(2,468)</t>
    <phoneticPr fontId="2" type="noConversion"/>
  </si>
  <si>
    <t>원종동 69-18
(5,716.0)</t>
    <phoneticPr fontId="2" type="noConversion"/>
  </si>
  <si>
    <t>역곡동 79-13·14번지
(870.6)</t>
    <phoneticPr fontId="2" type="noConversion"/>
  </si>
  <si>
    <t>부천시 소사본동 191-3번지 외 1필지
(3,432.8)</t>
    <phoneticPr fontId="2" type="noConversion"/>
  </si>
  <si>
    <t>사업시행계획인가</t>
  </si>
  <si>
    <t>재개발사업 추진현황</t>
    <phoneticPr fontId="2" type="noConversion"/>
  </si>
  <si>
    <t>18.05.02
(24.2.5.)</t>
  </si>
  <si>
    <t>권명철</t>
  </si>
  <si>
    <t>344-5834
부일로 563, 2층</t>
  </si>
  <si>
    <t>소사동 48-21번지 일원
(76,072.3)</t>
  </si>
  <si>
    <t>08.03.10.
(24.5.20.)</t>
  </si>
  <si>
    <t>08.09.24.
(24.11.5.)</t>
  </si>
  <si>
    <t xml:space="preserve">347-3551
부일로 586, 2층             </t>
  </si>
  <si>
    <t>345-0744
부천시 호현로 479, 2층</t>
  </si>
  <si>
    <t xml:space="preserve">675-5285
부천로 285, 3층                     </t>
  </si>
  <si>
    <t>24.12.02.</t>
  </si>
  <si>
    <t>신흥연립</t>
  </si>
  <si>
    <t>한근권</t>
  </si>
  <si>
    <t>준공인가</t>
  </si>
  <si>
    <t>새한빌라</t>
  </si>
  <si>
    <t>강기열</t>
  </si>
  <si>
    <t>삼협연립3차
(마을주차장)</t>
  </si>
  <si>
    <t>괴안동 117
(3,646.0)</t>
  </si>
  <si>
    <t>2동</t>
  </si>
  <si>
    <t>김진환</t>
  </si>
  <si>
    <t>부천원종LH참여형</t>
  </si>
  <si>
    <t>3동</t>
  </si>
  <si>
    <t>현화옥</t>
  </si>
  <si>
    <t>진주연립</t>
  </si>
  <si>
    <t>강구원</t>
  </si>
  <si>
    <t>공항주택 296-5</t>
  </si>
  <si>
    <t>류제광</t>
  </si>
  <si>
    <t>역곡대림아파트 
경기도시공사 참여형</t>
  </si>
  <si>
    <t>부천여월LH참여형
(마을주차장)</t>
  </si>
  <si>
    <t>부천원종엘리트주택</t>
  </si>
  <si>
    <t>유근두</t>
  </si>
  <si>
    <t xml:space="preserve">태평연립 </t>
  </si>
  <si>
    <t xml:space="preserve">원미 반도한양 </t>
  </si>
  <si>
    <t>T.02-3456-0000
원미동 121-1 
반도4동 104호</t>
  </si>
  <si>
    <t>㈜무궁화신탁
(지정개발자)</t>
  </si>
  <si>
    <t xml:space="preserve">세종빌라외 </t>
  </si>
  <si>
    <t>노근호</t>
  </si>
  <si>
    <t>삼하동호진주연립</t>
  </si>
  <si>
    <t>T. 031-684-9868
고강동 293-9</t>
  </si>
  <si>
    <t>이진영</t>
  </si>
  <si>
    <t>삼우아파트성원주택
수정빌라</t>
  </si>
  <si>
    <t>김범길</t>
  </si>
  <si>
    <t>은성빌라 외</t>
  </si>
  <si>
    <t>T. 673-3600
원종동 134-7 1층</t>
  </si>
  <si>
    <t>이주영</t>
  </si>
  <si>
    <t>공항연립</t>
  </si>
  <si>
    <t>8동</t>
  </si>
  <si>
    <t>이성림</t>
  </si>
  <si>
    <t>영신연립</t>
  </si>
  <si>
    <t>소사구 범안로 1 
(2층)</t>
  </si>
  <si>
    <t>신진숙</t>
  </si>
  <si>
    <t>광성보원</t>
  </si>
  <si>
    <t>장영숙</t>
  </si>
  <si>
    <t>부촌아파트
(1차,2차)</t>
  </si>
  <si>
    <t>박양우</t>
  </si>
  <si>
    <t>영화연립</t>
  </si>
  <si>
    <t>로얄빌라 외</t>
  </si>
  <si>
    <t>T. 676-2020
고강본동 345-26 
1층</t>
  </si>
  <si>
    <t>이신우</t>
  </si>
  <si>
    <t>우진아파트</t>
  </si>
  <si>
    <t>내동 333번지 1층</t>
  </si>
  <si>
    <t>홍경용</t>
  </si>
  <si>
    <t>영동주택</t>
  </si>
  <si>
    <t>이동원</t>
  </si>
  <si>
    <t>명신아파트</t>
  </si>
  <si>
    <t>원종동 387
(3,261.6)</t>
  </si>
  <si>
    <t>김영석</t>
  </si>
  <si>
    <t>부촌3차아파트 외</t>
  </si>
  <si>
    <t>T. 212-5342
오정구 성오로
127번길 16, 3층</t>
  </si>
  <si>
    <t>5동</t>
  </si>
  <si>
    <t>현대88아파트</t>
  </si>
  <si>
    <t>송효순</t>
  </si>
  <si>
    <t>진안빌라외</t>
  </si>
  <si>
    <t>김규석</t>
  </si>
  <si>
    <t>오정613</t>
  </si>
  <si>
    <t>삼익아파트5동</t>
  </si>
  <si>
    <t>송내동 607
(5,312.4)</t>
  </si>
  <si>
    <t>한영빌라</t>
  </si>
  <si>
    <t>김낙환</t>
  </si>
  <si>
    <t>성산주택</t>
  </si>
  <si>
    <t>조태원</t>
  </si>
  <si>
    <t>건우아파트</t>
  </si>
  <si>
    <t>고강동 307
(7,897.1)</t>
  </si>
  <si>
    <t>4동</t>
  </si>
  <si>
    <t>전병일</t>
  </si>
  <si>
    <t>삼익아파트2동</t>
  </si>
  <si>
    <t>송내동 589
(5,313.2)</t>
  </si>
  <si>
    <t>삼익아파트3동</t>
  </si>
  <si>
    <t>송내동 595
(4,908.2)</t>
  </si>
  <si>
    <t>이인섭</t>
  </si>
  <si>
    <t>고강동 정안,고려</t>
  </si>
  <si>
    <t>곽선미</t>
  </si>
  <si>
    <t>삼우4차아파트</t>
  </si>
  <si>
    <t>T.682-5117
고강동 396 삼우4차아파트 경비실</t>
  </si>
  <si>
    <t>김경자</t>
  </si>
  <si>
    <t>대성연립</t>
  </si>
  <si>
    <t>T. 678-7108
원종동 246-17 2층</t>
  </si>
  <si>
    <t>이충한</t>
  </si>
  <si>
    <t>고강동 현대주택외</t>
  </si>
  <si>
    <t>김경옥</t>
  </si>
  <si>
    <t>고강동 한일빌라외</t>
  </si>
  <si>
    <t>최기현</t>
  </si>
  <si>
    <t>범안동 130번지일원</t>
  </si>
  <si>
    <t>홍사철</t>
  </si>
  <si>
    <t>부촌4차아파트외</t>
  </si>
  <si>
    <t>한의상</t>
  </si>
  <si>
    <t>원종동 374-9 일원</t>
  </si>
  <si>
    <t>김희정</t>
  </si>
  <si>
    <t>리라역곡삼일</t>
  </si>
  <si>
    <t>최형수</t>
  </si>
  <si>
    <t>상신빌라</t>
  </si>
  <si>
    <t>송기선</t>
  </si>
  <si>
    <t>성락아파트</t>
  </si>
  <si>
    <t>원종로 51번길 14-14 성락아파트 811호</t>
  </si>
  <si>
    <t>이찬희</t>
  </si>
  <si>
    <t>T. 684-2477
춘의동 126-69</t>
  </si>
  <si>
    <t>김영철</t>
  </si>
  <si>
    <t>안경순</t>
  </si>
  <si>
    <t>여월동 광남.복지</t>
  </si>
  <si>
    <t>송금동</t>
  </si>
  <si>
    <t>천안셀라</t>
  </si>
  <si>
    <t>정영훈</t>
  </si>
  <si>
    <t>소사본동 227-30 일원</t>
  </si>
  <si>
    <t>김원기</t>
  </si>
  <si>
    <t>부천원종 혜원연립, 
방배아파트</t>
  </si>
  <si>
    <t>최혜영</t>
  </si>
  <si>
    <t>역곡동 삼원연립</t>
  </si>
  <si>
    <t>T. 342-0402
부일로 711번길 11, 8동 102호</t>
  </si>
  <si>
    <t>소사본동 다-구역</t>
  </si>
  <si>
    <t>박진관</t>
  </si>
  <si>
    <t>원종동153번지일대</t>
  </si>
  <si>
    <t>T. 674-1225
성오로101번길 51-1, 17동 101호</t>
  </si>
  <si>
    <t>김수옥</t>
  </si>
  <si>
    <t>소사본동 223-1번지 
일원</t>
  </si>
  <si>
    <t>역곡현대 
가로주택정비사업</t>
  </si>
  <si>
    <t>김송애</t>
  </si>
  <si>
    <t>장미연립</t>
  </si>
  <si>
    <t>지한분</t>
  </si>
  <si>
    <t>중앙연립</t>
  </si>
  <si>
    <t>성도아파트 외</t>
  </si>
  <si>
    <t>방순희</t>
  </si>
  <si>
    <t>심곡본동 643-1번지 
일원(B)</t>
  </si>
  <si>
    <t>T. 614-5856
심곡본동 686-16,
1층</t>
  </si>
  <si>
    <t>김진구</t>
  </si>
  <si>
    <t>효자미성으뜸</t>
  </si>
  <si>
    <t>T. 677-9268
소사로775번길 53, 
2층 201호</t>
  </si>
  <si>
    <t>김순임</t>
  </si>
  <si>
    <t>삼융연립외3필지</t>
  </si>
  <si>
    <t>박민규</t>
  </si>
  <si>
    <t>고강동 402번지 일원</t>
  </si>
  <si>
    <t>권동화</t>
  </si>
  <si>
    <t>새보미아파트</t>
  </si>
  <si>
    <t>허남만</t>
  </si>
  <si>
    <t>상동 현대연립 외</t>
  </si>
  <si>
    <t>명성연립일원</t>
  </si>
  <si>
    <t>황향란</t>
  </si>
  <si>
    <t>원종동 유림∙신영∙소망∙명진</t>
  </si>
  <si>
    <t>T. 676-2456
원종동 138-23, 
2층</t>
  </si>
  <si>
    <t>김식현</t>
  </si>
  <si>
    <t>정은숙</t>
  </si>
  <si>
    <t>강서주택외</t>
  </si>
  <si>
    <t>부천시 고리울로 16번길 23, 2층</t>
  </si>
  <si>
    <t>장병률</t>
  </si>
  <si>
    <t>원종동 340-20일원</t>
  </si>
  <si>
    <t>원종동 340-20</t>
  </si>
  <si>
    <t>이성심</t>
  </si>
  <si>
    <t>대현9차 아파트 일대</t>
  </si>
  <si>
    <t>부천시 부광로16번길 23, 101호</t>
  </si>
  <si>
    <t>형경희</t>
  </si>
  <si>
    <t>소사본동 현대부러운
아파트 외</t>
  </si>
  <si>
    <t>대경주택</t>
  </si>
  <si>
    <t>원종동 339-16</t>
  </si>
  <si>
    <t>이영호</t>
  </si>
  <si>
    <t>원종동 대성주택</t>
  </si>
  <si>
    <t>원종로86번길 20,
가-301호</t>
  </si>
  <si>
    <t>서준규</t>
  </si>
  <si>
    <t>현대7차A 한보빌라 외</t>
  </si>
  <si>
    <t>한성희</t>
  </si>
  <si>
    <t>심곡동 무지개연립</t>
  </si>
  <si>
    <t>T. 612-6845
신흥로 100번길 35, B동 102호</t>
  </si>
  <si>
    <t>심곡동 437-3
(2,114)</t>
  </si>
  <si>
    <t>박상훈</t>
  </si>
  <si>
    <t>고강동 한오아파트</t>
  </si>
  <si>
    <t>김재호</t>
  </si>
  <si>
    <t>진주, 남양, 롯데, 선진</t>
  </si>
  <si>
    <t>원종동 199-2번지일원</t>
  </si>
  <si>
    <t>고형범</t>
  </si>
  <si>
    <t>원종동 151-2번지일원</t>
  </si>
  <si>
    <t>부천시 성오로89번가길 39,가동 202호</t>
  </si>
  <si>
    <t>임종래</t>
  </si>
  <si>
    <t>원종동 현대목화아파트</t>
  </si>
  <si>
    <t>장귀임</t>
  </si>
  <si>
    <t>원종동 우성빌라외</t>
  </si>
  <si>
    <t>서광식</t>
  </si>
  <si>
    <t>심곡본동 562-68외</t>
  </si>
  <si>
    <t>김상문</t>
  </si>
  <si>
    <t>소사본동 277-14번지 일원</t>
  </si>
  <si>
    <t>소사본동 277-14번지 외 22필지</t>
  </si>
  <si>
    <t>이상도</t>
  </si>
  <si>
    <t>도당동 동아아파트</t>
  </si>
  <si>
    <t>우정림</t>
  </si>
  <si>
    <t>한도2차아파트 일원</t>
  </si>
  <si>
    <t>김미경</t>
  </si>
  <si>
    <t>라이프아파트</t>
  </si>
  <si>
    <t>장기현</t>
  </si>
  <si>
    <t>신한일아파트</t>
  </si>
  <si>
    <t>서정아</t>
  </si>
  <si>
    <t>고강동 한솔빌라외</t>
  </si>
  <si>
    <t>문향자</t>
  </si>
  <si>
    <t>중동 현대아파트</t>
  </si>
  <si>
    <t>전찬수</t>
  </si>
  <si>
    <t>역곡동 46일원</t>
  </si>
  <si>
    <t>김상열</t>
  </si>
  <si>
    <t>동화태양아파트</t>
  </si>
  <si>
    <t>부천시 원종로71번길 45</t>
  </si>
  <si>
    <t>고락철</t>
  </si>
  <si>
    <t>원종동 오익빌라</t>
  </si>
  <si>
    <t>백영기</t>
  </si>
  <si>
    <t>고강동 여명빌라외</t>
  </si>
  <si>
    <t>신란희</t>
  </si>
  <si>
    <t>원종동 339-5번지 일원</t>
  </si>
  <si>
    <t>23. 12. 18.</t>
  </si>
  <si>
    <t>김금숙</t>
  </si>
  <si>
    <t>월산장미아파트</t>
  </si>
  <si>
    <t>홍우준</t>
  </si>
  <si>
    <t>도원아파트</t>
  </si>
  <si>
    <t>오세정</t>
  </si>
  <si>
    <t>금강경원일원</t>
  </si>
  <si>
    <t>6동</t>
  </si>
  <si>
    <t>이현정</t>
  </si>
  <si>
    <t>6동/34층이하</t>
    <phoneticPr fontId="2" type="noConversion"/>
  </si>
  <si>
    <t>괴안3-6,괴안3-7</t>
    <phoneticPr fontId="2" type="noConversion"/>
  </si>
  <si>
    <t>괴안동 171-6 일원
(28,205)</t>
    <phoneticPr fontId="2" type="noConversion"/>
  </si>
  <si>
    <t>270이하</t>
    <phoneticPr fontId="2" type="noConversion"/>
  </si>
  <si>
    <t>8동/30층</t>
    <phoneticPr fontId="2" type="noConversion"/>
  </si>
  <si>
    <t>조합설립추진위원회 구성·승인</t>
    <phoneticPr fontId="2" type="noConversion"/>
  </si>
  <si>
    <t>심곡로 82-1, 1층</t>
    <phoneticPr fontId="2" type="noConversion"/>
  </si>
  <si>
    <t>25.04.09.</t>
    <phoneticPr fontId="2" type="noConversion"/>
  </si>
  <si>
    <t>25.04.08.</t>
    <phoneticPr fontId="2" type="noConversion"/>
  </si>
  <si>
    <t>2019-07-15
(가로주택 변경
2025-04-28)</t>
    <phoneticPr fontId="2" type="noConversion"/>
  </si>
  <si>
    <t>2동</t>
    <phoneticPr fontId="2" type="noConversion"/>
  </si>
  <si>
    <t>역곡동 247-2 외 1</t>
    <phoneticPr fontId="2" type="noConversion"/>
  </si>
  <si>
    <t>원미구 부일로 812,
112호</t>
    <phoneticPr fontId="2" type="noConversion"/>
  </si>
  <si>
    <t>부천동성아파트</t>
    <phoneticPr fontId="2" type="noConversion"/>
  </si>
  <si>
    <t>김병용</t>
    <phoneticPr fontId="2" type="noConversion"/>
  </si>
  <si>
    <t>상동 241-3 외 32</t>
    <phoneticPr fontId="2" type="noConversion"/>
  </si>
  <si>
    <t>원미구 상동 244-18,
지층</t>
    <phoneticPr fontId="2" type="noConversion"/>
  </si>
  <si>
    <t>상동 241-3번지 일원</t>
    <phoneticPr fontId="2" type="noConversion"/>
  </si>
  <si>
    <t>장경</t>
    <phoneticPr fontId="2" type="noConversion"/>
  </si>
  <si>
    <t>심곡본동 562-7 외 56</t>
    <phoneticPr fontId="2" type="noConversion"/>
  </si>
  <si>
    <t>심곡본동 562-7번지
일원</t>
    <phoneticPr fontId="2" type="noConversion"/>
  </si>
  <si>
    <t>괴안동 125
(6,528.9)</t>
    <phoneticPr fontId="2" type="noConversion"/>
  </si>
  <si>
    <t>T. 381-9934
소사구 부광로 19, 
4층</t>
    <phoneticPr fontId="2" type="noConversion"/>
  </si>
  <si>
    <t>괴안동 125번지 일원</t>
    <phoneticPr fontId="2" type="noConversion"/>
  </si>
  <si>
    <t>박옥병</t>
    <phoneticPr fontId="2" type="noConversion"/>
  </si>
  <si>
    <t>4동</t>
    <phoneticPr fontId="2" type="noConversion"/>
  </si>
  <si>
    <t>원미구 역곡동 19 
외 13
(8,654.3)</t>
    <phoneticPr fontId="2" type="noConversion"/>
  </si>
  <si>
    <t>원미구 역곡동 
25-31, 1층</t>
    <phoneticPr fontId="2" type="noConversion"/>
  </si>
  <si>
    <t xml:space="preserve">역곡동 금강맨션 일원 </t>
    <phoneticPr fontId="2" type="noConversion"/>
  </si>
  <si>
    <t>김용임</t>
    <phoneticPr fontId="2" type="noConversion"/>
  </si>
  <si>
    <t>소사본동 78-1
(7,673.31)</t>
    <phoneticPr fontId="2" type="noConversion"/>
  </si>
  <si>
    <t>T. 719-7854
소사본동 78-1, 
703호</t>
    <phoneticPr fontId="2" type="noConversion"/>
  </si>
  <si>
    <t>소사본동 78-1 일원</t>
    <phoneticPr fontId="2" type="noConversion"/>
  </si>
  <si>
    <t>소사구 심곡본동 617-125 외 24
(9,742.83㎡, 도로1,743.16㎡)</t>
    <phoneticPr fontId="2" type="noConversion"/>
  </si>
  <si>
    <t>심곡로 67번길 
70-10</t>
    <phoneticPr fontId="2" type="noConversion"/>
  </si>
  <si>
    <t>심곡동 354-3 외 2
(1,176.8㎡)</t>
    <phoneticPr fontId="2" type="noConversion"/>
  </si>
  <si>
    <t>장말로362번길 19, 
D동 101호</t>
    <phoneticPr fontId="2" type="noConversion"/>
  </si>
  <si>
    <t>오정구 여월동 2-16</t>
    <phoneticPr fontId="2" type="noConversion"/>
  </si>
  <si>
    <t>오정구 삼작로 321, 
2층</t>
    <phoneticPr fontId="2" type="noConversion"/>
  </si>
  <si>
    <t>오정구 원종동 339-5 외 4
(1,477.9)</t>
    <phoneticPr fontId="2" type="noConversion"/>
  </si>
  <si>
    <t xml:space="preserve"> 성지로 93-1</t>
    <phoneticPr fontId="2" type="noConversion"/>
  </si>
  <si>
    <t>오정구 고강동 361-4
외 4
(1,432.1)</t>
    <phoneticPr fontId="2" type="noConversion"/>
  </si>
  <si>
    <t>오정구 고강동 
346-1, 1층</t>
    <phoneticPr fontId="2" type="noConversion"/>
  </si>
  <si>
    <t>원종동 365 외 1
(2,495.1)</t>
    <phoneticPr fontId="2" type="noConversion"/>
  </si>
  <si>
    <t>삼작로 395번길14, 
나동 303호</t>
    <phoneticPr fontId="2" type="noConversion"/>
  </si>
  <si>
    <t>원종동 269-1 외 1</t>
    <phoneticPr fontId="2" type="noConversion"/>
  </si>
  <si>
    <t>역곡동 46 외 27
(7,903.5)</t>
    <phoneticPr fontId="2" type="noConversion"/>
  </si>
  <si>
    <t>중동 772-2</t>
    <phoneticPr fontId="2" type="noConversion"/>
  </si>
  <si>
    <t>T. 654-4194
부천시 석천로38번길 21, 1층</t>
    <phoneticPr fontId="2" type="noConversion"/>
  </si>
  <si>
    <t>1동</t>
    <phoneticPr fontId="2" type="noConversion"/>
  </si>
  <si>
    <t xml:space="preserve">고강동 288 외 2 </t>
    <phoneticPr fontId="2" type="noConversion"/>
  </si>
  <si>
    <t>원종로85번길 36, 
1층2호</t>
    <phoneticPr fontId="2" type="noConversion"/>
  </si>
  <si>
    <t>삼정동 311-1
(7,669.4)</t>
    <phoneticPr fontId="2" type="noConversion"/>
  </si>
  <si>
    <t>내동 57-28, 2층</t>
    <phoneticPr fontId="2" type="noConversion"/>
  </si>
  <si>
    <t>오정구 오정동 612-1 외 2
(3,293.5)</t>
    <phoneticPr fontId="2" type="noConversion"/>
  </si>
  <si>
    <t>부천시 상오정로 8, 
2층</t>
    <phoneticPr fontId="2" type="noConversion"/>
  </si>
  <si>
    <t>역곡동 23-1 외 2</t>
    <phoneticPr fontId="2" type="noConversion"/>
  </si>
  <si>
    <t>부일로 653, 관리실</t>
    <phoneticPr fontId="2" type="noConversion"/>
  </si>
  <si>
    <t>도당동 120
(3,631.2)</t>
    <phoneticPr fontId="2" type="noConversion"/>
  </si>
  <si>
    <t>T. 675-0888
삼작로 280번지 35</t>
    <phoneticPr fontId="2" type="noConversion"/>
  </si>
  <si>
    <t>소사로 160번길 95</t>
    <phoneticPr fontId="2" type="noConversion"/>
  </si>
  <si>
    <t>심곡본동 562-68 
외 64</t>
    <phoneticPr fontId="2" type="noConversion"/>
  </si>
  <si>
    <t>심곡본동 562-282</t>
    <phoneticPr fontId="2" type="noConversion"/>
  </si>
  <si>
    <t>원종동 363 외 35
(9.270.1)</t>
    <phoneticPr fontId="2" type="noConversion"/>
  </si>
  <si>
    <t>원종로119번길 76-3, 3층</t>
    <phoneticPr fontId="2" type="noConversion"/>
  </si>
  <si>
    <t>원종동 211 외 2</t>
    <phoneticPr fontId="2" type="noConversion"/>
  </si>
  <si>
    <t>T. 681-2110
부천시 원종로 9, 
가동 관리사무실</t>
    <phoneticPr fontId="2" type="noConversion"/>
  </si>
  <si>
    <t>원종동 151-2 외 29</t>
    <phoneticPr fontId="2" type="noConversion"/>
  </si>
  <si>
    <t>원종동 199-2 외 31</t>
    <phoneticPr fontId="2" type="noConversion"/>
  </si>
  <si>
    <t>성오로141번길 54, 
3층</t>
    <phoneticPr fontId="2" type="noConversion"/>
  </si>
  <si>
    <t>원종동 281-2 외 11</t>
    <phoneticPr fontId="2" type="noConversion"/>
  </si>
  <si>
    <t>T. 675-1333
원종로 52번길 52, 
롯데주택 2동 202호</t>
    <phoneticPr fontId="2" type="noConversion"/>
  </si>
  <si>
    <t>고강동 289
(2,393.90)</t>
    <phoneticPr fontId="2" type="noConversion"/>
  </si>
  <si>
    <t>고강동 289-4 
조은공인중개사사무소</t>
    <phoneticPr fontId="2" type="noConversion"/>
  </si>
  <si>
    <t>괴안동 126-2 외 2
(4,780.40)</t>
    <phoneticPr fontId="2" type="noConversion"/>
  </si>
  <si>
    <t>경인로 526번길 
27-1, 3층</t>
    <phoneticPr fontId="2" type="noConversion"/>
  </si>
  <si>
    <t>원종동 290-6 외 4
(840.10)</t>
    <phoneticPr fontId="2" type="noConversion"/>
  </si>
  <si>
    <t>원종동 339-16 외 1
(1,606.20)</t>
    <phoneticPr fontId="2" type="noConversion"/>
  </si>
  <si>
    <t>T. 344-8344
경인로438번길 21, 
제1호</t>
    <phoneticPr fontId="2" type="noConversion"/>
  </si>
  <si>
    <t>괴안동 118 외 38
(8,514.4)</t>
    <phoneticPr fontId="2" type="noConversion"/>
  </si>
  <si>
    <t>원종동 340-20 외 6
(2,223.7)</t>
    <phoneticPr fontId="2" type="noConversion"/>
  </si>
  <si>
    <t>오정구 고강동 399-3 외 20
(3,789.2)</t>
    <phoneticPr fontId="2" type="noConversion"/>
  </si>
  <si>
    <t>오정구 고강동 408-6 외 2
(1,116.2)</t>
    <phoneticPr fontId="2" type="noConversion"/>
  </si>
  <si>
    <t>고리울로 74번길18, 에이동 303호</t>
    <phoneticPr fontId="2" type="noConversion"/>
  </si>
  <si>
    <t>수정,일신주택</t>
    <phoneticPr fontId="2" type="noConversion"/>
  </si>
  <si>
    <t>원종동 138-12
외 9
(5,543.5)</t>
    <phoneticPr fontId="2" type="noConversion"/>
  </si>
  <si>
    <t>2021-11-12-</t>
    <phoneticPr fontId="2" type="noConversion"/>
  </si>
  <si>
    <t>상동 240 외 14
(2,564.3)</t>
    <phoneticPr fontId="2" type="noConversion"/>
  </si>
  <si>
    <t>오정구 고강동 397
(3,761.8)</t>
    <phoneticPr fontId="2" type="noConversion"/>
  </si>
  <si>
    <t>역곡로 456번길 41-10, 2층</t>
    <phoneticPr fontId="2" type="noConversion"/>
  </si>
  <si>
    <t>오정구 고강동 402 외 20
(4,563.39)</t>
    <phoneticPr fontId="2" type="noConversion"/>
  </si>
  <si>
    <t>고리울로52번길 
84-10, 디동 지층2호</t>
    <phoneticPr fontId="2" type="noConversion"/>
  </si>
  <si>
    <t>괴안동 107-11 외 3
(3,056)</t>
    <phoneticPr fontId="2" type="noConversion"/>
  </si>
  <si>
    <t>경인로484번길 39, 
1층</t>
    <phoneticPr fontId="2" type="noConversion"/>
  </si>
  <si>
    <t>원종동 138 외 11
(6,683.4)</t>
    <phoneticPr fontId="2" type="noConversion"/>
  </si>
  <si>
    <t>심곡본동 643-1
(3,571.9)</t>
    <phoneticPr fontId="2" type="noConversion"/>
  </si>
  <si>
    <t>원종동 130-3 외 11
(6,337.5)</t>
    <phoneticPr fontId="2" type="noConversion"/>
  </si>
  <si>
    <t>T. 673-6730
원종로9번길 71,
관리사무실</t>
    <phoneticPr fontId="2" type="noConversion"/>
  </si>
  <si>
    <t>소사본동 52-25 외 3
(1,766.3)</t>
    <phoneticPr fontId="2" type="noConversion"/>
  </si>
  <si>
    <t>소사본동 283-46 
외 49
(6,944.3)</t>
    <phoneticPr fontId="2" type="noConversion"/>
  </si>
  <si>
    <t>T. 252-0222
소사본동 283-47, 
1층</t>
    <phoneticPr fontId="2" type="noConversion"/>
  </si>
  <si>
    <t>원미동 150-1 외 2</t>
    <phoneticPr fontId="2" type="noConversion"/>
  </si>
  <si>
    <t>T. 662-8105
부천로86번길 51, 
9동101호</t>
    <phoneticPr fontId="2" type="noConversion"/>
  </si>
  <si>
    <t>3동</t>
    <phoneticPr fontId="2" type="noConversion"/>
  </si>
  <si>
    <t>소사구 괴안동 105 외 3
(9,766.9)</t>
    <phoneticPr fontId="2" type="noConversion"/>
  </si>
  <si>
    <t>T. 505-5287
괴안동 105-3,
관리사무실</t>
    <phoneticPr fontId="2" type="noConversion"/>
  </si>
  <si>
    <t>소사본동 223-1 
외 48
(5,864.4)</t>
    <phoneticPr fontId="2" type="noConversion"/>
  </si>
  <si>
    <t>T. 342-9997
소사로 134번길 21</t>
    <phoneticPr fontId="2" type="noConversion"/>
  </si>
  <si>
    <t>오정구 오정동 139-5 외 12
(4,566.9)</t>
    <phoneticPr fontId="2" type="noConversion"/>
  </si>
  <si>
    <t>원종로24번길 28, 202호</t>
  </si>
  <si>
    <t>원종동 153-9 외 18
(4,062.1)</t>
    <phoneticPr fontId="2" type="noConversion"/>
  </si>
  <si>
    <t>249.56.</t>
    <phoneticPr fontId="2" type="noConversion"/>
  </si>
  <si>
    <t>소사본동 294 외 48
(6,110.9)</t>
    <phoneticPr fontId="2" type="noConversion"/>
  </si>
  <si>
    <t>T. 342-0623
은성로 76번길 95-8</t>
    <phoneticPr fontId="2" type="noConversion"/>
  </si>
  <si>
    <t>역곡동 50-1</t>
    <phoneticPr fontId="2" type="noConversion"/>
  </si>
  <si>
    <t xml:space="preserve"> 원종동 383-7 외 2
(4,841.4)</t>
    <phoneticPr fontId="2" type="noConversion"/>
  </si>
  <si>
    <t>삼작로 373, 
12동 102호</t>
    <phoneticPr fontId="2" type="noConversion"/>
  </si>
  <si>
    <t>소사본동 277-30 
외 25
(3,067)</t>
    <phoneticPr fontId="2" type="noConversion"/>
  </si>
  <si>
    <t>T. 710-2831
소사본동 278-18</t>
    <phoneticPr fontId="2" type="noConversion"/>
  </si>
  <si>
    <t>오정구 고강동 418-7
외 5</t>
    <phoneticPr fontId="2" type="noConversion"/>
  </si>
  <si>
    <t>역곡로 482번길 170-1, B동 103호</t>
    <phoneticPr fontId="2" type="noConversion"/>
  </si>
  <si>
    <t>여월동 8-6 외 4
(4,014.9)</t>
    <phoneticPr fontId="2" type="noConversion"/>
  </si>
  <si>
    <t>T. 673-1725
성곡로 32, 3층</t>
    <phoneticPr fontId="2" type="noConversion"/>
  </si>
  <si>
    <t>원종동 135-2
(2,559.5)</t>
    <phoneticPr fontId="2" type="noConversion"/>
  </si>
  <si>
    <t>원종동29번길 84, 
2층2호</t>
    <phoneticPr fontId="2" type="noConversion"/>
  </si>
  <si>
    <t>춘의동 126-1 외 63
(9,399.67)</t>
    <phoneticPr fontId="2" type="noConversion"/>
  </si>
  <si>
    <t>춘의동 126-1번지 일원</t>
    <phoneticPr fontId="2" type="noConversion"/>
  </si>
  <si>
    <t>원종동 276-2</t>
    <phoneticPr fontId="2" type="noConversion"/>
  </si>
  <si>
    <t>오정구 오정동 139-2
(4,326.6)</t>
    <phoneticPr fontId="2" type="noConversion"/>
  </si>
  <si>
    <t>오정동 135-1, 3층</t>
  </si>
  <si>
    <t>괴안동 177 외 8
(5,303)</t>
    <phoneticPr fontId="2" type="noConversion"/>
  </si>
  <si>
    <t>T. 245-2948
부광로 29번길 67,
3층</t>
    <phoneticPr fontId="2" type="noConversion"/>
  </si>
  <si>
    <t>원종동 374-9 외 12
(2,291.7)</t>
    <phoneticPr fontId="2" type="noConversion"/>
  </si>
  <si>
    <t>원종동 375-13,
1층 3호</t>
    <phoneticPr fontId="2" type="noConversion"/>
  </si>
  <si>
    <t>오정구 오정동 140-6 외 10
(5,195.7)</t>
    <phoneticPr fontId="2" type="noConversion"/>
  </si>
  <si>
    <t>성오로 117번길 51, 부촌4차아파트 내 (구)노인정</t>
    <phoneticPr fontId="2" type="noConversion"/>
  </si>
  <si>
    <t xml:space="preserve">부광로29번길 13-5 </t>
    <phoneticPr fontId="2" type="noConversion"/>
  </si>
  <si>
    <t>오정구 고강동 419-2 외 13</t>
    <phoneticPr fontId="2" type="noConversion"/>
  </si>
  <si>
    <t>고강동 419-2</t>
    <phoneticPr fontId="2" type="noConversion"/>
  </si>
  <si>
    <t>오정구 고강동 338-4 외 14
(3,172.6)</t>
    <phoneticPr fontId="2" type="noConversion"/>
  </si>
  <si>
    <t>원종로 119번길 66, 상가동 제지2층 
제비105호</t>
    <phoneticPr fontId="2" type="noConversion"/>
  </si>
  <si>
    <t>원종동 335 외 8
(1,919.9)</t>
    <phoneticPr fontId="2" type="noConversion"/>
  </si>
  <si>
    <t>오정구 고강동 396 외 5</t>
    <phoneticPr fontId="2" type="noConversion"/>
  </si>
  <si>
    <t>고강동 311-23 외 14
(2,570.4)</t>
    <phoneticPr fontId="2" type="noConversion"/>
  </si>
  <si>
    <t>T. 676-6276
원종동 340-31, 1층</t>
    <phoneticPr fontId="2" type="noConversion"/>
  </si>
  <si>
    <t>괴안동 106-1 외 3
(9,088.6)</t>
    <phoneticPr fontId="2" type="noConversion"/>
  </si>
  <si>
    <t>032-349-9698
괴안동 106-1,
대현청실아파트지하</t>
    <phoneticPr fontId="2" type="noConversion"/>
  </si>
  <si>
    <t>T. 343-3681
소사본동 55-8
2동 104호</t>
    <phoneticPr fontId="2" type="noConversion"/>
  </si>
  <si>
    <t>심곡본동 783-2
(2,648.5)</t>
    <phoneticPr fontId="2" type="noConversion"/>
  </si>
  <si>
    <t>T. 613-3007
심곡로14번길 45, 
3동 관리사무실</t>
    <phoneticPr fontId="2" type="noConversion"/>
  </si>
  <si>
    <t>T. 612-3210
경인로134번길 52, 
3층</t>
    <phoneticPr fontId="2" type="noConversion"/>
  </si>
  <si>
    <t>T. 612-3325
송내2동 588-3, 3층</t>
    <phoneticPr fontId="2" type="noConversion"/>
  </si>
  <si>
    <t>T.682-4437
역곡로455번길 60,
관리사무소</t>
    <phoneticPr fontId="2" type="noConversion"/>
  </si>
  <si>
    <t>고강동 292-3 외 1
(1,079.2)</t>
    <phoneticPr fontId="2" type="noConversion"/>
  </si>
  <si>
    <t>T. 674-7787
원종동 339-15, 1층</t>
    <phoneticPr fontId="2" type="noConversion"/>
  </si>
  <si>
    <t>원종동 345-15 외 6
(1,911.5)</t>
    <phoneticPr fontId="2" type="noConversion"/>
  </si>
  <si>
    <t>원종동 345-15</t>
    <phoneticPr fontId="2" type="noConversion"/>
  </si>
  <si>
    <t>오정구 고강동 389-1
(3,251.9)</t>
    <phoneticPr fontId="2" type="noConversion"/>
  </si>
  <si>
    <t>고강로146번길 48, 가동 103호</t>
    <phoneticPr fontId="2" type="noConversion"/>
  </si>
  <si>
    <t>T. 612-1379
송내2동 588-3, 3층</t>
    <phoneticPr fontId="2" type="noConversion"/>
  </si>
  <si>
    <t>오정구 오정동 613 외 23
(6,130.1)</t>
    <phoneticPr fontId="2" type="noConversion"/>
  </si>
  <si>
    <t>고강동 401-3 외 13
(2,568.5)</t>
    <phoneticPr fontId="2" type="noConversion"/>
  </si>
  <si>
    <t>T. 223-7001     
고강동 401-16,
2동 201호</t>
    <phoneticPr fontId="2" type="noConversion"/>
  </si>
  <si>
    <t>괴안동 88
(2,149.10)</t>
    <phoneticPr fontId="2" type="noConversion"/>
  </si>
  <si>
    <t>괴안동 88, 
관리사무소</t>
    <phoneticPr fontId="2" type="noConversion"/>
  </si>
  <si>
    <t>오정구 오정동 140-1 외 19
(8,160.00)</t>
    <phoneticPr fontId="2" type="noConversion"/>
  </si>
  <si>
    <t>2022-1215</t>
    <phoneticPr fontId="2" type="noConversion"/>
  </si>
  <si>
    <t>성오로 74, 101동 1층</t>
    <phoneticPr fontId="2" type="noConversion"/>
  </si>
  <si>
    <t>원종동 288 외 21
(5,051.1)</t>
    <phoneticPr fontId="2" type="noConversion"/>
  </si>
  <si>
    <t>T. 677-8988
원종로 119, 102호</t>
    <phoneticPr fontId="2" type="noConversion"/>
  </si>
  <si>
    <t>오정구 오정동 570-5 외 1
(1,700.9)</t>
    <phoneticPr fontId="2" type="noConversion"/>
  </si>
  <si>
    <t>오정구 고강동 334-7 외 10
(2,344.8)</t>
    <phoneticPr fontId="2" type="noConversion"/>
  </si>
  <si>
    <t>심곡동 107-8 외 6
(3,042.3)</t>
    <phoneticPr fontId="2" type="noConversion"/>
  </si>
  <si>
    <t>T. 652-2588
심곡동 107-8,
C동 102호</t>
    <phoneticPr fontId="2" type="noConversion"/>
  </si>
  <si>
    <t>오정구 고강동 292-8 
외 2
(6,163.1)</t>
    <phoneticPr fontId="2" type="noConversion"/>
  </si>
  <si>
    <t>T&gt; 674-0615
고강동 293-19, 1층</t>
    <phoneticPr fontId="2" type="noConversion"/>
  </si>
  <si>
    <t>오정구 원종동 131 
외 6
(5,287.6)</t>
    <phoneticPr fontId="2" type="noConversion"/>
  </si>
  <si>
    <t>T. 672-9077
원종동 139-2 
은성아파트 다동 2층</t>
    <phoneticPr fontId="2" type="noConversion"/>
  </si>
  <si>
    <t>괴안동 93-11 외 4
(2,646.16)</t>
    <phoneticPr fontId="2" type="noConversion"/>
  </si>
  <si>
    <t>오정구 원종동 298-1 
외 7 
(7,583.6)</t>
    <phoneticPr fontId="2" type="noConversion"/>
  </si>
  <si>
    <t>T. 672-8851
원종동 298-5 
공항연립 8동 201호</t>
    <phoneticPr fontId="2" type="noConversion"/>
  </si>
  <si>
    <t>오정구 원종동 136-4 
외 11
(2,758.8)</t>
    <phoneticPr fontId="2" type="noConversion"/>
  </si>
  <si>
    <t>오정구 고강동 310-9 
외 6
(3,735.5)</t>
    <phoneticPr fontId="2" type="noConversion"/>
  </si>
  <si>
    <t>T. 678-0088
고강로 72번길 53, 101호</t>
    <phoneticPr fontId="2" type="noConversion"/>
  </si>
  <si>
    <t>오정구 고강동 293-2 외 7
(2,855.4)</t>
    <phoneticPr fontId="2" type="noConversion"/>
  </si>
  <si>
    <t>오정구 고강동 289-2 외 10
(2,842.2)</t>
    <phoneticPr fontId="2" type="noConversion"/>
  </si>
  <si>
    <t>T. 676-4744
고강동 376-28</t>
    <phoneticPr fontId="2" type="noConversion"/>
  </si>
  <si>
    <t>원미동 119-2 외 3
(3,388.6)</t>
    <phoneticPr fontId="2" type="noConversion"/>
  </si>
  <si>
    <t>오정구 원종동 336-3
(1,583.2)</t>
    <phoneticPr fontId="2" type="noConversion"/>
  </si>
  <si>
    <t>오정구 소사로
794번길 15, 3층
T. 677-9723</t>
    <phoneticPr fontId="2" type="noConversion"/>
  </si>
  <si>
    <t>오정구 원종동 334-2
(1,529.3)</t>
    <phoneticPr fontId="2" type="noConversion"/>
  </si>
  <si>
    <t>고강대로40번가길 20, 원종파르크 
아파트 지하1층 1호</t>
    <phoneticPr fontId="2" type="noConversion"/>
  </si>
  <si>
    <t>김성호</t>
    <phoneticPr fontId="2" type="noConversion"/>
  </si>
  <si>
    <t>오정구 여월동 9-29
(4,747.3)</t>
    <phoneticPr fontId="2" type="noConversion"/>
  </si>
  <si>
    <t>T. 684-9192
성곡로 28번길 7, 
지하1층</t>
    <phoneticPr fontId="2" type="noConversion"/>
  </si>
  <si>
    <t>역곡동 104 외 2
(2,676.6)</t>
    <phoneticPr fontId="2" type="noConversion"/>
  </si>
  <si>
    <t>지봉로127번길 39,
관리실</t>
    <phoneticPr fontId="2" type="noConversion"/>
  </si>
  <si>
    <t>오정구 원종동 296-5
(1,809.6)</t>
    <phoneticPr fontId="2" type="noConversion"/>
  </si>
  <si>
    <t>T. 682-8777
정지로 89</t>
    <phoneticPr fontId="2" type="noConversion"/>
  </si>
  <si>
    <t>오정구 원종동 294-5
(2,062.3)</t>
    <phoneticPr fontId="2" type="noConversion"/>
  </si>
  <si>
    <t>T. 676-0787
소사로794번길 64, 1호</t>
    <phoneticPr fontId="2" type="noConversion"/>
  </si>
  <si>
    <t>조합해산</t>
    <phoneticPr fontId="2" type="noConversion"/>
  </si>
  <si>
    <t>오정구 원종동 475
(4,665.4)</t>
    <phoneticPr fontId="2" type="noConversion"/>
  </si>
  <si>
    <t>T. 672-2230
성지로 71번길 20, 1층 1호</t>
    <phoneticPr fontId="2" type="noConversion"/>
  </si>
  <si>
    <t>경인로 498번길 56, 2층
(괴안동, 현대상가)</t>
    <phoneticPr fontId="2" type="noConversion"/>
  </si>
  <si>
    <t>오정구 고강동 598
(2,106.8)</t>
    <phoneticPr fontId="2" type="noConversion"/>
  </si>
  <si>
    <t>T. 677-5655
오정구 고강동 598, 관리사무소</t>
    <phoneticPr fontId="2" type="noConversion"/>
  </si>
  <si>
    <t>심곡동 95-3 외 6
(3,040.3)</t>
    <phoneticPr fontId="2" type="noConversion"/>
  </si>
  <si>
    <t>T. 655-5090
부천로 141, 202호</t>
    <phoneticPr fontId="2" type="noConversion"/>
  </si>
  <si>
    <t>25.08.14.</t>
    <phoneticPr fontId="2" type="noConversion"/>
  </si>
  <si>
    <t>25.09.26.</t>
    <phoneticPr fontId="2" type="noConversion"/>
  </si>
  <si>
    <t>추진위원회 승인</t>
    <phoneticPr fontId="2" type="noConversion"/>
  </si>
  <si>
    <t>2동/23층</t>
    <phoneticPr fontId="2" type="noConversion"/>
  </si>
  <si>
    <t>21.08.24.</t>
    <phoneticPr fontId="2" type="noConversion"/>
  </si>
  <si>
    <t>괴안동 130-13 
외 11
(2,465.5)</t>
    <phoneticPr fontId="2" type="noConversion"/>
  </si>
  <si>
    <t>T. 348-0881
역곡동 35-12, 2층</t>
    <phoneticPr fontId="2" type="noConversion"/>
  </si>
  <si>
    <t>조병래</t>
    <phoneticPr fontId="2" type="noConversion"/>
  </si>
  <si>
    <t>소사구 성주로243번길 20, 1층</t>
    <phoneticPr fontId="2" type="noConversion"/>
  </si>
  <si>
    <t>25.09.29.
(주민대표회의)</t>
    <phoneticPr fontId="2" type="noConversion"/>
  </si>
  <si>
    <t>06.11.07.</t>
    <phoneticPr fontId="2" type="noConversion"/>
  </si>
  <si>
    <t>정비계획 수립 및 정비구역 지정</t>
    <phoneticPr fontId="2" type="noConversion"/>
  </si>
  <si>
    <t>이주 및 철거</t>
    <phoneticPr fontId="2" type="noConversion"/>
  </si>
  <si>
    <t>이전고시</t>
    <phoneticPr fontId="2" type="noConversion"/>
  </si>
  <si>
    <t>□ 단계별 추진현황</t>
    <phoneticPr fontId="12" type="noConversion"/>
  </si>
  <si>
    <t>구분</t>
  </si>
  <si>
    <t>대상구역</t>
  </si>
  <si>
    <t>정비구역지정</t>
    <phoneticPr fontId="12" type="noConversion"/>
  </si>
  <si>
    <t>추진위승인</t>
    <phoneticPr fontId="12" type="noConversion"/>
  </si>
  <si>
    <t>사업시행인가</t>
  </si>
  <si>
    <t>관리처분인가</t>
  </si>
  <si>
    <t>착공</t>
    <phoneticPr fontId="12" type="noConversion"/>
  </si>
  <si>
    <t>준공</t>
    <phoneticPr fontId="12" type="noConversion"/>
  </si>
  <si>
    <t>재개발</t>
  </si>
  <si>
    <t xml:space="preserve">구분 </t>
  </si>
  <si>
    <t>조합설립인가</t>
    <phoneticPr fontId="12" type="noConversion"/>
  </si>
  <si>
    <t>조합설립/
지정개발자</t>
    <phoneticPr fontId="12" type="noConversion"/>
  </si>
  <si>
    <t>사업시행</t>
  </si>
  <si>
    <t>공사착공</t>
  </si>
  <si>
    <t>가로주택</t>
    <phoneticPr fontId="12" type="noConversion"/>
  </si>
  <si>
    <t>조합해산</t>
    <phoneticPr fontId="12" type="noConversion"/>
  </si>
  <si>
    <t>조합청산</t>
    <phoneticPr fontId="12" type="noConversion"/>
  </si>
  <si>
    <t>건축심의</t>
    <phoneticPr fontId="2" type="noConversion"/>
  </si>
  <si>
    <t>소규모재건축</t>
    <phoneticPr fontId="12" type="noConversion"/>
  </si>
  <si>
    <t>정비계획 수립 및 정비구역 지정 용역 진행중</t>
    <phoneticPr fontId="2" type="noConversion"/>
  </si>
  <si>
    <t>22
(생활권)</t>
    <phoneticPr fontId="2" type="noConversion"/>
  </si>
  <si>
    <t>약대동 현대흥립통합재건축</t>
    <phoneticPr fontId="2" type="noConversion"/>
  </si>
  <si>
    <t>약대동 169-6번지 일원
(25,363)</t>
    <phoneticPr fontId="2" type="noConversion"/>
  </si>
  <si>
    <t>4동/20층</t>
    <phoneticPr fontId="2" type="noConversion"/>
  </si>
  <si>
    <t>심곡본동 617-140번지
(6,680)</t>
    <phoneticPr fontId="2" type="noConversion"/>
  </si>
  <si>
    <t>역곡동 산51-18외 3
(7,134.4)</t>
    <phoneticPr fontId="2" type="noConversion"/>
  </si>
  <si>
    <t>T. 671-0877
오정로212번길14, 
4층)</t>
    <phoneticPr fontId="2" type="noConversion"/>
  </si>
  <si>
    <t>김성자</t>
    <phoneticPr fontId="2" type="noConversion"/>
  </si>
  <si>
    <t>조범연</t>
    <phoneticPr fontId="2" type="noConversion"/>
  </si>
  <si>
    <t>기타</t>
    <phoneticPr fontId="2" type="noConversion"/>
  </si>
  <si>
    <t>괴안동 201번지 일원
(38,323.7)</t>
    <phoneticPr fontId="2" type="noConversion"/>
  </si>
  <si>
    <t>07.03.12.
(25.12.01.)</t>
    <phoneticPr fontId="2" type="noConversion"/>
  </si>
  <si>
    <t>11.04.06.
(25.05.28.)</t>
    <phoneticPr fontId="2" type="noConversion"/>
  </si>
  <si>
    <t>18.11.07.
(25.12.11.)</t>
    <phoneticPr fontId="2" type="noConversion"/>
  </si>
  <si>
    <t>25.06.18.</t>
    <phoneticPr fontId="2" type="noConversion"/>
  </si>
  <si>
    <t>추진위원회 승인
(장기간 추진 지연)</t>
    <phoneticPr fontId="2" type="noConversion"/>
  </si>
  <si>
    <t>정비계획 입안 요청(제안)</t>
    <phoneticPr fontId="12" type="noConversion"/>
  </si>
  <si>
    <t>정비예정구역</t>
    <phoneticPr fontId="12" type="noConversion"/>
  </si>
  <si>
    <t>후보지 선정</t>
    <phoneticPr fontId="12" type="noConversion"/>
  </si>
  <si>
    <t>지구지정 제안</t>
    <phoneticPr fontId="12" type="noConversion"/>
  </si>
  <si>
    <t>주민공람공고(예정지구)</t>
    <phoneticPr fontId="2" type="noConversion"/>
  </si>
  <si>
    <t>주민협의체 구성</t>
    <phoneticPr fontId="2" type="noConversion"/>
  </si>
  <si>
    <t>도시계획위원회 심의</t>
    <phoneticPr fontId="2" type="noConversion"/>
  </si>
  <si>
    <t>지구지정 고시</t>
    <phoneticPr fontId="12" type="noConversion"/>
  </si>
  <si>
    <t>도심공공주택복합사업</t>
    <phoneticPr fontId="2" type="noConversion"/>
  </si>
  <si>
    <t>주민대표회의 구성</t>
    <phoneticPr fontId="12" type="noConversion"/>
  </si>
  <si>
    <t>복합사업계획승인</t>
    <phoneticPr fontId="2" type="noConversion"/>
  </si>
  <si>
    <t>현물보상</t>
    <phoneticPr fontId="12" type="noConversion"/>
  </si>
  <si>
    <t>이주 및 착공</t>
    <phoneticPr fontId="2" type="noConversion"/>
  </si>
  <si>
    <t>준공</t>
    <phoneticPr fontId="2" type="noConversion"/>
  </si>
  <si>
    <t>26. 2. 12</t>
    <phoneticPr fontId="2" type="noConversion"/>
  </si>
  <si>
    <t>26. 1. 20.</t>
    <phoneticPr fontId="2" type="noConversion"/>
  </si>
  <si>
    <t>09.08.24.
(26.1.16.)</t>
    <phoneticPr fontId="2" type="noConversion"/>
  </si>
  <si>
    <t>08.11.17.
(26.1.12.)</t>
    <phoneticPr fontId="2" type="noConversion"/>
  </si>
  <si>
    <t>도당동 266-4번지 일원
(137,027.1)</t>
    <phoneticPr fontId="2" type="noConversion"/>
  </si>
  <si>
    <t>09.02.27.
(26.3.19.)</t>
    <phoneticPr fontId="2" type="noConversion"/>
  </si>
  <si>
    <t>18동/29층</t>
    <phoneticPr fontId="2" type="noConversion"/>
  </si>
  <si>
    <t>25.04.07.
25.12.22.</t>
    <phoneticPr fontId="2" type="noConversion"/>
  </si>
  <si>
    <t>조종로 40-7, 명성
주택 102호 지하1층</t>
  </si>
  <si>
    <t>원미동 117-2 외 14
(2,624.80)</t>
  </si>
  <si>
    <t>조합취소</t>
    <phoneticPr fontId="2" type="noConversion"/>
  </si>
  <si>
    <t>이경화</t>
  </si>
  <si>
    <t>로얄연립</t>
    <phoneticPr fontId="2" type="noConversion"/>
  </si>
  <si>
    <t>소사본동 229-12 외 13</t>
    <phoneticPr fontId="2" type="noConversion"/>
  </si>
  <si>
    <t>김윤옥</t>
    <phoneticPr fontId="2" type="noConversion"/>
  </si>
  <si>
    <t>석은숙</t>
    <phoneticPr fontId="2" type="noConversion"/>
  </si>
  <si>
    <t>2026.01.06.</t>
    <phoneticPr fontId="2" type="noConversion"/>
  </si>
  <si>
    <t>김충삼</t>
    <phoneticPr fontId="2" type="noConversion"/>
  </si>
  <si>
    <t>김정례</t>
    <phoneticPr fontId="2" type="noConversion"/>
  </si>
  <si>
    <t>정지용</t>
    <phoneticPr fontId="2" type="noConversion"/>
  </si>
  <si>
    <t>재건축</t>
    <phoneticPr fontId="2" type="noConversion"/>
  </si>
  <si>
    <t>T. 614-6132
석천로52번길 40, 101호</t>
    <phoneticPr fontId="2" type="noConversion"/>
  </si>
  <si>
    <t>소사본동 56-2 외 11
(6,697.4)</t>
    <phoneticPr fontId="2" type="noConversion"/>
  </si>
  <si>
    <t>9
(생활권)</t>
    <phoneticPr fontId="2" type="noConversion"/>
  </si>
  <si>
    <t>삼정1-2구역
재개발</t>
    <phoneticPr fontId="2" type="noConversion"/>
  </si>
  <si>
    <t>삼정동 283-2번지 일원
(33,753.5)</t>
    <phoneticPr fontId="2" type="noConversion"/>
  </si>
  <si>
    <t>23.08.17.</t>
    <phoneticPr fontId="2" type="noConversion"/>
  </si>
  <si>
    <t>광한</t>
    <phoneticPr fontId="2" type="noConversion"/>
  </si>
  <si>
    <t>괴안동 2-4 외 4</t>
    <phoneticPr fontId="2" type="noConversion"/>
  </si>
  <si>
    <t>18.07.27.</t>
    <phoneticPr fontId="2" type="noConversion"/>
  </si>
  <si>
    <t>박성윤</t>
    <phoneticPr fontId="2" type="noConversion"/>
  </si>
  <si>
    <t>20.06.30.</t>
    <phoneticPr fontId="2" type="noConversion"/>
  </si>
  <si>
    <t>20.12.15.</t>
    <phoneticPr fontId="2" type="noConversion"/>
  </si>
  <si>
    <t>20.12.28.</t>
    <phoneticPr fontId="2" type="noConversion"/>
  </si>
  <si>
    <t>22.12.23.</t>
    <phoneticPr fontId="2" type="noConversion"/>
  </si>
  <si>
    <t>25.2.25.</t>
    <phoneticPr fontId="2" type="noConversion"/>
  </si>
  <si>
    <t>조합설립인가 취소</t>
    <phoneticPr fontId="2" type="noConversion"/>
  </si>
  <si>
    <t>정우자</t>
    <phoneticPr fontId="2" type="noConversion"/>
  </si>
  <si>
    <t>최영옥</t>
    <phoneticPr fontId="2" type="noConversion"/>
  </si>
  <si>
    <t>113
(추가)</t>
    <phoneticPr fontId="2" type="noConversion"/>
  </si>
  <si>
    <t>원종동 301번지 일원</t>
    <phoneticPr fontId="2" type="noConversion"/>
  </si>
  <si>
    <t>부천시 오정구 성지로 111번길 20, 대도빌라 지층 2호</t>
    <phoneticPr fontId="2" type="noConversion"/>
  </si>
  <si>
    <t>원종동 301 외 12</t>
    <phoneticPr fontId="2" type="noConversion"/>
  </si>
  <si>
    <t>오선재</t>
    <phoneticPr fontId="2" type="noConversion"/>
  </si>
  <si>
    <t>20.08.06.
(25.09.18.)</t>
  </si>
  <si>
    <t>26.04.23.</t>
  </si>
  <si>
    <t>소사동 8-5번지 일원
(25,887.9)</t>
  </si>
  <si>
    <t>09.04.20.
(26.05.04.)</t>
  </si>
  <si>
    <t>11.06.21.
(26.02.06.)</t>
  </si>
  <si>
    <t>22.04.27.
(26.06.11.)</t>
    <phoneticPr fontId="2" type="noConversion"/>
  </si>
  <si>
    <t>10.07.19.
(26.5.26.)</t>
    <phoneticPr fontId="2" type="noConversion"/>
  </si>
  <si>
    <t>추진위원회 승인
(정비구역 지정)</t>
    <phoneticPr fontId="2" type="noConversion"/>
  </si>
  <si>
    <t>정비계획 수립 및 정비구역 지정 용역 예정</t>
  </si>
  <si>
    <t>26.6.12.</t>
    <phoneticPr fontId="2" type="noConversion"/>
  </si>
  <si>
    <t>관리처분계획인가 및 이주</t>
    <phoneticPr fontId="2" type="noConversion"/>
  </si>
  <si>
    <t>정비구역 지정
(주민대표회의 구성 승인)</t>
    <phoneticPr fontId="2" type="noConversion"/>
  </si>
  <si>
    <t>정비계획 입안제안
(추진위 연번부여 및 검인)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</si>
</sst>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_ "/>
    <numFmt numFmtId="177" formatCode="0_ "/>
    <numFmt numFmtId="178" formatCode="0.00_ "/>
    <numFmt numFmtId="179" formatCode="0.00_);[Red]\(0.00\)"/>
  </numFmts>
  <fonts count="1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8"/>
      <name val="돋움"/>
      <family val="3"/>
      <charset val="129"/>
    </font>
    <font>
      <b/>
      <sz val="10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2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trike/>
      <sz val="9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FFD1"/>
        <bgColor indexed="64"/>
      </patternFill>
    </fill>
  </fills>
  <borders count="4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4.9989318521683403E-2"/>
      </right>
      <top style="medium">
        <color auto="1"/>
      </top>
      <bottom/>
      <diagonal/>
    </border>
    <border>
      <left/>
      <right style="thin">
        <color theme="0" tint="-4.9989318521683403E-2"/>
      </right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3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/>
  </cellStyleXfs>
  <cellXfs count="185">
    <xf numFmtId="0" fontId="0" fillId="0" borderId="0" xfId="0"/>
    <xf numFmtId="0" fontId="6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shrinkToFit="1"/>
    </xf>
    <xf numFmtId="0" fontId="0" fillId="0" borderId="0" xfId="0" applyFont="1"/>
    <xf numFmtId="0" fontId="0" fillId="3" borderId="0" xfId="0" applyFont="1" applyFill="1"/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0" xfId="0" applyFont="1"/>
    <xf numFmtId="0" fontId="10" fillId="0" borderId="0" xfId="0" applyFont="1" applyAlignment="1">
      <alignment horizontal="center" vertical="center"/>
    </xf>
    <xf numFmtId="0" fontId="0" fillId="0" borderId="0" xfId="0" applyFont="1" applyFill="1"/>
    <xf numFmtId="0" fontId="9" fillId="0" borderId="4" xfId="0" applyFont="1" applyFill="1" applyBorder="1"/>
    <xf numFmtId="0" fontId="9" fillId="0" borderId="20" xfId="0" applyFont="1" applyFill="1" applyBorder="1" applyAlignment="1">
      <alignment horizontal="center"/>
    </xf>
    <xf numFmtId="0" fontId="10" fillId="4" borderId="0" xfId="0" applyFont="1" applyFill="1"/>
    <xf numFmtId="0" fontId="10" fillId="0" borderId="0" xfId="0" applyFont="1"/>
    <xf numFmtId="0" fontId="9" fillId="0" borderId="0" xfId="0" applyFont="1" applyFill="1"/>
    <xf numFmtId="0" fontId="9" fillId="0" borderId="0" xfId="0" applyFont="1" applyAlignment="1">
      <alignment horizontal="right"/>
    </xf>
    <xf numFmtId="0" fontId="9" fillId="4" borderId="0" xfId="0" applyFont="1" applyFill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5" fillId="0" borderId="0" xfId="2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5" fillId="0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vertical="center"/>
    </xf>
    <xf numFmtId="0" fontId="13" fillId="0" borderId="35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3" fillId="0" borderId="36" xfId="0" applyFont="1" applyFill="1" applyBorder="1" applyAlignment="1">
      <alignment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36" xfId="0" applyFont="1" applyFill="1" applyBorder="1" applyAlignment="1">
      <alignment horizontal="center" vertical="center"/>
    </xf>
    <xf numFmtId="0" fontId="13" fillId="0" borderId="37" xfId="0" applyFont="1" applyFill="1" applyBorder="1" applyAlignment="1">
      <alignment vertical="center"/>
    </xf>
    <xf numFmtId="0" fontId="13" fillId="0" borderId="38" xfId="0" applyFont="1" applyFill="1" applyBorder="1" applyAlignment="1">
      <alignment vertical="center"/>
    </xf>
    <xf numFmtId="0" fontId="9" fillId="0" borderId="30" xfId="0" applyFont="1" applyFill="1" applyBorder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13" fillId="0" borderId="30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vertical="center"/>
    </xf>
    <xf numFmtId="0" fontId="13" fillId="0" borderId="39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3" fillId="0" borderId="42" xfId="0" applyFont="1" applyFill="1" applyBorder="1" applyAlignment="1">
      <alignment vertical="center"/>
    </xf>
    <xf numFmtId="0" fontId="13" fillId="0" borderId="43" xfId="0" applyFont="1" applyFill="1" applyBorder="1" applyAlignment="1">
      <alignment vertical="center"/>
    </xf>
    <xf numFmtId="0" fontId="13" fillId="0" borderId="44" xfId="0" applyFont="1" applyFill="1" applyBorder="1" applyAlignment="1">
      <alignment vertical="center"/>
    </xf>
    <xf numFmtId="0" fontId="13" fillId="0" borderId="40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/>
    </xf>
    <xf numFmtId="0" fontId="13" fillId="6" borderId="32" xfId="0" applyFont="1" applyFill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center" vertical="center"/>
    </xf>
    <xf numFmtId="0" fontId="13" fillId="7" borderId="34" xfId="0" applyFont="1" applyFill="1" applyBorder="1" applyAlignment="1">
      <alignment horizontal="center" vertical="center"/>
    </xf>
    <xf numFmtId="0" fontId="13" fillId="7" borderId="34" xfId="0" applyFont="1" applyFill="1" applyBorder="1" applyAlignment="1">
      <alignment horizontal="center" vertical="center" wrapText="1"/>
    </xf>
    <xf numFmtId="0" fontId="13" fillId="7" borderId="32" xfId="0" applyFont="1" applyFill="1" applyBorder="1" applyAlignment="1">
      <alignment horizontal="center" vertical="center"/>
    </xf>
    <xf numFmtId="0" fontId="13" fillId="8" borderId="32" xfId="0" applyFont="1" applyFill="1" applyBorder="1" applyAlignment="1">
      <alignment horizontal="center" vertical="center"/>
    </xf>
    <xf numFmtId="0" fontId="13" fillId="8" borderId="3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 wrapText="1"/>
    </xf>
    <xf numFmtId="41" fontId="5" fillId="0" borderId="0" xfId="1" applyFont="1" applyFill="1" applyBorder="1" applyAlignment="1">
      <alignment horizontal="center" vertical="center" shrinkToFit="1"/>
    </xf>
    <xf numFmtId="176" fontId="5" fillId="0" borderId="0" xfId="0" applyNumberFormat="1" applyFont="1" applyFill="1" applyBorder="1" applyAlignment="1">
      <alignment horizontal="center" vertical="center" shrinkToFit="1"/>
    </xf>
    <xf numFmtId="177" fontId="5" fillId="0" borderId="0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6" fillId="9" borderId="0" xfId="0" applyFont="1" applyFill="1"/>
    <xf numFmtId="0" fontId="13" fillId="10" borderId="32" xfId="0" applyFont="1" applyFill="1" applyBorder="1" applyAlignment="1">
      <alignment horizontal="center" vertical="center"/>
    </xf>
    <xf numFmtId="0" fontId="13" fillId="10" borderId="3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41" fontId="14" fillId="0" borderId="1" xfId="1" applyFont="1" applyFill="1" applyBorder="1" applyAlignment="1">
      <alignment horizontal="center" vertical="center" shrinkToFit="1"/>
    </xf>
    <xf numFmtId="41" fontId="14" fillId="0" borderId="1" xfId="1" applyFont="1" applyFill="1" applyBorder="1" applyAlignment="1">
      <alignment horizontal="right" vertical="center" shrinkToFit="1"/>
    </xf>
    <xf numFmtId="0" fontId="14" fillId="0" borderId="1" xfId="0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quotePrefix="1" applyFont="1" applyFill="1" applyBorder="1" applyAlignment="1">
      <alignment horizontal="center" vertical="center"/>
    </xf>
    <xf numFmtId="0" fontId="14" fillId="0" borderId="1" xfId="0" quotePrefix="1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5" fillId="0" borderId="1" xfId="0" quotePrefix="1" applyFont="1" applyFill="1" applyBorder="1" applyAlignment="1">
      <alignment horizontal="center" vertical="center" wrapText="1" shrinkToFit="1"/>
    </xf>
    <xf numFmtId="0" fontId="4" fillId="0" borderId="1" xfId="0" applyFont="1" applyFill="1" applyBorder="1"/>
    <xf numFmtId="0" fontId="16" fillId="0" borderId="32" xfId="0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center" vertical="center" wrapText="1"/>
    </xf>
    <xf numFmtId="178" fontId="14" fillId="0" borderId="1" xfId="0" applyNumberFormat="1" applyFont="1" applyFill="1" applyBorder="1" applyAlignment="1">
      <alignment horizontal="center" vertical="center" shrinkToFit="1"/>
    </xf>
    <xf numFmtId="179" fontId="14" fillId="0" borderId="1" xfId="0" applyNumberFormat="1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center" vertical="center" wrapText="1" shrinkToFit="1"/>
    </xf>
    <xf numFmtId="0" fontId="14" fillId="0" borderId="1" xfId="0" quotePrefix="1" applyFont="1" applyFill="1" applyBorder="1" applyAlignment="1">
      <alignment horizontal="center" vertical="center" shrinkToFit="1"/>
    </xf>
    <xf numFmtId="178" fontId="14" fillId="0" borderId="1" xfId="0" applyNumberFormat="1" applyFont="1" applyFill="1" applyBorder="1" applyAlignment="1">
      <alignment horizontal="center" vertical="center" wrapText="1" shrinkToFit="1"/>
    </xf>
    <xf numFmtId="179" fontId="14" fillId="0" borderId="1" xfId="0" applyNumberFormat="1" applyFont="1" applyFill="1" applyBorder="1" applyAlignment="1">
      <alignment horizontal="center" vertical="center" wrapText="1" shrinkToFit="1"/>
    </xf>
    <xf numFmtId="0" fontId="14" fillId="0" borderId="1" xfId="2" applyFont="1" applyFill="1" applyBorder="1" applyAlignment="1">
      <alignment horizontal="center" vertical="center" wrapText="1"/>
    </xf>
    <xf numFmtId="0" fontId="14" fillId="0" borderId="1" xfId="2" applyFont="1" applyFill="1" applyBorder="1" applyAlignment="1">
      <alignment horizontal="center" vertical="center" shrinkToFit="1"/>
    </xf>
    <xf numFmtId="178" fontId="14" fillId="0" borderId="1" xfId="2" applyNumberFormat="1" applyFont="1" applyFill="1" applyBorder="1" applyAlignment="1">
      <alignment horizontal="center" vertical="center" shrinkToFit="1"/>
    </xf>
    <xf numFmtId="179" fontId="14" fillId="0" borderId="1" xfId="2" applyNumberFormat="1" applyFont="1" applyFill="1" applyBorder="1" applyAlignment="1">
      <alignment horizontal="center" vertical="center" shrinkToFit="1"/>
    </xf>
    <xf numFmtId="0" fontId="14" fillId="0" borderId="1" xfId="2" applyFont="1" applyFill="1" applyBorder="1" applyAlignment="1">
      <alignment horizontal="center" vertical="center" wrapText="1" shrinkToFit="1"/>
    </xf>
    <xf numFmtId="0" fontId="14" fillId="0" borderId="1" xfId="0" quotePrefix="1" applyFont="1" applyFill="1" applyBorder="1" applyAlignment="1">
      <alignment horizontal="center" vertical="center" wrapText="1" shrinkToFit="1"/>
    </xf>
    <xf numFmtId="41" fontId="14" fillId="0" borderId="1" xfId="1" quotePrefix="1" applyFont="1" applyFill="1" applyBorder="1" applyAlignment="1">
      <alignment horizontal="right" vertical="center" shrinkToFit="1"/>
    </xf>
    <xf numFmtId="0" fontId="14" fillId="0" borderId="3" xfId="0" applyFont="1" applyFill="1" applyBorder="1" applyAlignment="1">
      <alignment horizontal="center" vertical="center" wrapText="1" shrinkToFit="1"/>
    </xf>
    <xf numFmtId="176" fontId="14" fillId="0" borderId="1" xfId="0" applyNumberFormat="1" applyFont="1" applyFill="1" applyBorder="1" applyAlignment="1">
      <alignment horizontal="center" vertical="center" shrinkToFit="1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177" fontId="14" fillId="0" borderId="1" xfId="0" applyNumberFormat="1" applyFont="1" applyFill="1" applyBorder="1" applyAlignment="1">
      <alignment horizontal="center" vertical="center" shrinkToFit="1"/>
    </xf>
    <xf numFmtId="0" fontId="14" fillId="0" borderId="1" xfId="4" applyFont="1" applyFill="1" applyBorder="1" applyAlignment="1">
      <alignment horizontal="center" vertical="center" wrapText="1"/>
    </xf>
    <xf numFmtId="0" fontId="14" fillId="0" borderId="3" xfId="0" quotePrefix="1" applyFont="1" applyFill="1" applyBorder="1" applyAlignment="1">
      <alignment horizontal="center" vertical="center" wrapText="1"/>
    </xf>
    <xf numFmtId="14" fontId="14" fillId="0" borderId="1" xfId="0" applyNumberFormat="1" applyFont="1" applyFill="1" applyBorder="1" applyAlignment="1">
      <alignment horizontal="center" vertical="center" wrapText="1"/>
    </xf>
    <xf numFmtId="14" fontId="14" fillId="0" borderId="1" xfId="0" quotePrefix="1" applyNumberFormat="1" applyFont="1" applyFill="1" applyBorder="1" applyAlignment="1">
      <alignment horizontal="center" vertical="center"/>
    </xf>
    <xf numFmtId="14" fontId="14" fillId="0" borderId="1" xfId="0" quotePrefix="1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shrinkToFit="1"/>
    </xf>
    <xf numFmtId="14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41" fontId="14" fillId="0" borderId="8" xfId="1" applyFont="1" applyFill="1" applyBorder="1" applyAlignment="1">
      <alignment horizontal="right" vertical="center" shrinkToFit="1"/>
    </xf>
    <xf numFmtId="0" fontId="14" fillId="0" borderId="8" xfId="0" applyFont="1" applyFill="1" applyBorder="1" applyAlignment="1">
      <alignment horizontal="center" vertical="center" shrinkToFit="1"/>
    </xf>
    <xf numFmtId="14" fontId="14" fillId="0" borderId="8" xfId="0" applyNumberFormat="1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41" fontId="14" fillId="0" borderId="10" xfId="1" applyFont="1" applyFill="1" applyBorder="1" applyAlignment="1">
      <alignment horizontal="right" vertical="center" shrinkToFit="1"/>
    </xf>
    <xf numFmtId="0" fontId="14" fillId="0" borderId="10" xfId="0" applyFont="1" applyFill="1" applyBorder="1" applyAlignment="1">
      <alignment horizontal="center" vertical="center" shrinkToFit="1"/>
    </xf>
    <xf numFmtId="14" fontId="14" fillId="0" borderId="10" xfId="0" applyNumberFormat="1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 wrapText="1"/>
    </xf>
    <xf numFmtId="41" fontId="14" fillId="0" borderId="0" xfId="1" applyFont="1" applyFill="1" applyBorder="1" applyAlignment="1">
      <alignment horizontal="right" vertical="center" shrinkToFit="1"/>
    </xf>
    <xf numFmtId="0" fontId="14" fillId="0" borderId="15" xfId="0" applyFont="1" applyFill="1" applyBorder="1" applyAlignment="1">
      <alignment horizontal="center" vertical="center" shrinkToFit="1"/>
    </xf>
    <xf numFmtId="14" fontId="14" fillId="0" borderId="0" xfId="0" applyNumberFormat="1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41" fontId="18" fillId="0" borderId="1" xfId="1" applyFont="1" applyFill="1" applyBorder="1" applyAlignment="1">
      <alignment horizontal="right" vertical="center" shrinkToFit="1"/>
    </xf>
    <xf numFmtId="0" fontId="18" fillId="0" borderId="1" xfId="0" applyFont="1" applyFill="1" applyBorder="1" applyAlignment="1">
      <alignment horizontal="center" vertical="center" shrinkToFit="1"/>
    </xf>
    <xf numFmtId="14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4" fillId="0" borderId="18" xfId="3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 shrinkToFi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 shrinkToFit="1"/>
    </xf>
    <xf numFmtId="41" fontId="14" fillId="0" borderId="13" xfId="1" applyFont="1" applyFill="1" applyBorder="1" applyAlignment="1">
      <alignment horizontal="right" vertical="center" shrinkToFit="1"/>
    </xf>
    <xf numFmtId="0" fontId="14" fillId="0" borderId="12" xfId="0" applyFont="1" applyFill="1" applyBorder="1" applyAlignment="1">
      <alignment horizontal="center" vertical="center" wrapText="1" shrinkToFi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41" fontId="14" fillId="0" borderId="12" xfId="1" applyFont="1" applyFill="1" applyBorder="1" applyAlignment="1">
      <alignment horizontal="right" vertical="center" shrinkToFit="1"/>
    </xf>
    <xf numFmtId="0" fontId="14" fillId="0" borderId="13" xfId="0" applyFont="1" applyFill="1" applyBorder="1" applyAlignment="1">
      <alignment horizontal="center" vertical="center" shrinkToFit="1"/>
    </xf>
    <xf numFmtId="0" fontId="14" fillId="0" borderId="12" xfId="0" applyFont="1" applyFill="1" applyBorder="1" applyAlignment="1">
      <alignment horizontal="center" vertical="center" shrinkToFit="1"/>
    </xf>
    <xf numFmtId="0" fontId="14" fillId="0" borderId="2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shrinkToFit="1"/>
    </xf>
    <xf numFmtId="41" fontId="14" fillId="0" borderId="10" xfId="1" applyFont="1" applyFill="1" applyBorder="1" applyAlignment="1">
      <alignment horizontal="center" vertical="center" shrinkToFi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 shrinkToFit="1"/>
    </xf>
    <xf numFmtId="0" fontId="14" fillId="0" borderId="14" xfId="0" applyFont="1" applyFill="1" applyBorder="1" applyAlignment="1">
      <alignment horizontal="center" vertical="center" shrinkToFit="1"/>
    </xf>
    <xf numFmtId="0" fontId="14" fillId="0" borderId="24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 shrinkToFit="1"/>
    </xf>
    <xf numFmtId="41" fontId="14" fillId="0" borderId="25" xfId="1" applyFont="1" applyFill="1" applyBorder="1" applyAlignment="1">
      <alignment horizontal="center" vertical="center" shrinkToFit="1"/>
    </xf>
    <xf numFmtId="0" fontId="14" fillId="0" borderId="25" xfId="0" applyFont="1" applyFill="1" applyBorder="1" applyAlignment="1">
      <alignment horizontal="center" vertical="center" shrinkToFit="1"/>
    </xf>
    <xf numFmtId="14" fontId="14" fillId="0" borderId="25" xfId="0" applyNumberFormat="1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/>
    </xf>
    <xf numFmtId="14" fontId="14" fillId="0" borderId="25" xfId="0" applyNumberFormat="1" applyFont="1" applyFill="1" applyBorder="1" applyAlignment="1">
      <alignment horizontal="center" vertical="center"/>
    </xf>
    <xf numFmtId="14" fontId="14" fillId="0" borderId="24" xfId="0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wrapText="1" shrinkToFit="1"/>
    </xf>
    <xf numFmtId="0" fontId="14" fillId="0" borderId="23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5">
    <cellStyle name="보통 2" xfId="2" xr:uid="{00000000-0005-0000-0000-000000000000}"/>
    <cellStyle name="쉼표 [0]" xfId="1" builtinId="6"/>
    <cellStyle name="표준" xfId="0" builtinId="0"/>
    <cellStyle name="표준 2" xfId="3" xr:uid="{00000000-0005-0000-0000-000003000000}"/>
    <cellStyle name="표준 2 3" xfId="4" xr:uid="{00000000-0005-0000-0000-000004000000}"/>
  </cellStyles>
  <dxfs count="0"/>
  <tableStyles count="0" defaultTableStyle="TableStyleMedium9" defaultPivotStyle="PivotStyleLight16"/>
  <colors>
    <mruColors>
      <color rgb="FFFBFFD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85" zoomScaleNormal="85" workbookViewId="0">
      <selection activeCell="D1" sqref="D1"/>
    </sheetView>
  </sheetViews>
  <sheetFormatPr defaultRowHeight="13.5" x14ac:dyDescent="0.15"/>
  <cols>
    <col min="1" max="1" width="14.5546875" customWidth="1"/>
    <col min="2" max="2" width="9.44140625" customWidth="1"/>
    <col min="3" max="4" width="12.77734375" customWidth="1"/>
    <col min="5" max="7" width="9.44140625" customWidth="1"/>
    <col min="8" max="8" width="11.5546875" customWidth="1"/>
    <col min="9" max="9" width="11.6640625" customWidth="1"/>
    <col min="10" max="14" width="9.44140625" customWidth="1"/>
  </cols>
  <sheetData>
    <row r="1" spans="1:14" ht="30" customHeight="1" x14ac:dyDescent="0.15">
      <c r="A1" s="45" t="s">
        <v>840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4" s="41" customFormat="1" ht="30" customHeight="1" x14ac:dyDescent="0.15">
      <c r="A2" s="40" t="str">
        <f>"○ 재개발 : "&amp;B4&amp;"개 구역"</f>
        <v>○ 재개발 : 9개 구역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s="5" customFormat="1" ht="30" customHeight="1" x14ac:dyDescent="0.15">
      <c r="A3" s="52" t="s">
        <v>841</v>
      </c>
      <c r="B3" s="52" t="s">
        <v>842</v>
      </c>
      <c r="C3" s="53" t="s">
        <v>877</v>
      </c>
      <c r="D3" s="53" t="s">
        <v>837</v>
      </c>
      <c r="E3" s="53" t="s">
        <v>844</v>
      </c>
      <c r="F3" s="52" t="s">
        <v>32</v>
      </c>
      <c r="G3" s="52" t="s">
        <v>845</v>
      </c>
      <c r="H3" s="52" t="s">
        <v>846</v>
      </c>
      <c r="I3" s="52" t="s">
        <v>838</v>
      </c>
      <c r="J3" s="52" t="s">
        <v>847</v>
      </c>
      <c r="K3" s="52" t="s">
        <v>848</v>
      </c>
      <c r="L3" s="52" t="s">
        <v>839</v>
      </c>
      <c r="M3" s="53" t="s">
        <v>856</v>
      </c>
      <c r="N3" s="53" t="s">
        <v>857</v>
      </c>
    </row>
    <row r="4" spans="1:14" s="42" customFormat="1" ht="30" customHeight="1" x14ac:dyDescent="0.15">
      <c r="A4" s="31" t="s">
        <v>849</v>
      </c>
      <c r="B4" s="31">
        <f>SUM(C4:N4)</f>
        <v>9</v>
      </c>
      <c r="C4" s="84">
        <v>1</v>
      </c>
      <c r="D4" s="84">
        <v>1</v>
      </c>
      <c r="E4" s="84">
        <v>1</v>
      </c>
      <c r="F4" s="84">
        <v>0</v>
      </c>
      <c r="G4" s="84">
        <v>2</v>
      </c>
      <c r="H4" s="84">
        <v>0</v>
      </c>
      <c r="I4" s="84">
        <v>1</v>
      </c>
      <c r="J4" s="84">
        <v>2</v>
      </c>
      <c r="K4" s="84">
        <v>0</v>
      </c>
      <c r="L4" s="84">
        <v>0</v>
      </c>
      <c r="M4" s="85">
        <v>1</v>
      </c>
      <c r="N4" s="85">
        <v>0</v>
      </c>
    </row>
    <row r="5" spans="1:14" s="5" customFormat="1" ht="30" customHeight="1" x14ac:dyDescent="0.15">
      <c r="A5" s="4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  <c r="N5" s="35"/>
    </row>
    <row r="6" spans="1:14" s="5" customFormat="1" ht="30" customHeight="1" x14ac:dyDescent="0.15">
      <c r="A6" s="40" t="str">
        <f>"○ 재건축 : "&amp;B8&amp;"개 구역"</f>
        <v>○ 재건축 : 22개 구역</v>
      </c>
      <c r="B6" s="29"/>
      <c r="C6" s="29"/>
      <c r="D6" s="29"/>
      <c r="E6" s="29"/>
      <c r="F6" s="29"/>
      <c r="G6" s="36"/>
      <c r="H6" s="29"/>
      <c r="I6" s="29"/>
      <c r="J6" s="29"/>
      <c r="K6" s="36"/>
      <c r="L6" s="36"/>
      <c r="M6" s="36"/>
      <c r="N6" s="30"/>
    </row>
    <row r="7" spans="1:14" s="5" customFormat="1" ht="30" customHeight="1" x14ac:dyDescent="0.15">
      <c r="A7" s="54" t="s">
        <v>850</v>
      </c>
      <c r="B7" s="54" t="s">
        <v>842</v>
      </c>
      <c r="C7" s="55" t="s">
        <v>877</v>
      </c>
      <c r="D7" s="55" t="s">
        <v>878</v>
      </c>
      <c r="E7" s="54" t="s">
        <v>843</v>
      </c>
      <c r="F7" s="55" t="s">
        <v>844</v>
      </c>
      <c r="G7" s="55" t="s">
        <v>851</v>
      </c>
      <c r="H7" s="54" t="s">
        <v>845</v>
      </c>
      <c r="I7" s="54" t="s">
        <v>846</v>
      </c>
      <c r="J7" s="54" t="s">
        <v>838</v>
      </c>
      <c r="K7" s="54" t="s">
        <v>847</v>
      </c>
      <c r="L7" s="54" t="s">
        <v>848</v>
      </c>
      <c r="M7" s="55" t="s">
        <v>839</v>
      </c>
      <c r="N7" s="55" t="s">
        <v>856</v>
      </c>
    </row>
    <row r="8" spans="1:14" s="5" customFormat="1" ht="30" customHeight="1" x14ac:dyDescent="0.15">
      <c r="A8" s="31" t="s">
        <v>911</v>
      </c>
      <c r="B8" s="31">
        <v>22</v>
      </c>
      <c r="C8" s="31">
        <v>1</v>
      </c>
      <c r="D8" s="31">
        <v>15</v>
      </c>
      <c r="E8" s="31">
        <v>0</v>
      </c>
      <c r="F8" s="31">
        <v>4</v>
      </c>
      <c r="G8" s="31">
        <v>0</v>
      </c>
      <c r="H8" s="31">
        <v>1</v>
      </c>
      <c r="I8" s="31">
        <v>0</v>
      </c>
      <c r="J8" s="31">
        <v>0</v>
      </c>
      <c r="K8" s="31">
        <v>1</v>
      </c>
      <c r="L8" s="31">
        <v>0</v>
      </c>
      <c r="M8" s="31">
        <v>6</v>
      </c>
      <c r="N8" s="32">
        <v>0</v>
      </c>
    </row>
    <row r="9" spans="1:14" s="5" customFormat="1" ht="30" customHeight="1" x14ac:dyDescent="0.15">
      <c r="A9" s="4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7"/>
    </row>
    <row r="10" spans="1:14" s="5" customFormat="1" ht="30" customHeight="1" x14ac:dyDescent="0.15">
      <c r="A10" s="40" t="str">
        <f>"○ 도심 공공주택 복합사업 : "&amp;B12&amp;"개 구역"</f>
        <v>○ 도심 공공주택 복합사업 : 4개 구역</v>
      </c>
      <c r="B10" s="29"/>
      <c r="C10" s="29"/>
      <c r="D10" s="29"/>
      <c r="E10" s="29"/>
      <c r="F10" s="29"/>
      <c r="G10" s="36"/>
      <c r="H10" s="29"/>
      <c r="I10" s="29"/>
      <c r="J10" s="29"/>
      <c r="K10" s="36"/>
      <c r="L10" s="36"/>
      <c r="M10" s="36"/>
      <c r="N10" s="30"/>
    </row>
    <row r="11" spans="1:14" s="5" customFormat="1" ht="30" customHeight="1" x14ac:dyDescent="0.15">
      <c r="A11" s="71" t="s">
        <v>850</v>
      </c>
      <c r="B11" s="71" t="s">
        <v>842</v>
      </c>
      <c r="C11" s="72" t="s">
        <v>879</v>
      </c>
      <c r="D11" s="72" t="s">
        <v>880</v>
      </c>
      <c r="E11" s="72" t="s">
        <v>851</v>
      </c>
      <c r="F11" s="72" t="s">
        <v>881</v>
      </c>
      <c r="G11" s="72" t="s">
        <v>882</v>
      </c>
      <c r="H11" s="72" t="s">
        <v>883</v>
      </c>
      <c r="I11" s="72" t="s">
        <v>884</v>
      </c>
      <c r="J11" s="72" t="s">
        <v>886</v>
      </c>
      <c r="K11" s="72" t="s">
        <v>887</v>
      </c>
      <c r="L11" s="72" t="s">
        <v>888</v>
      </c>
      <c r="M11" s="72" t="s">
        <v>889</v>
      </c>
      <c r="N11" s="72" t="s">
        <v>890</v>
      </c>
    </row>
    <row r="12" spans="1:14" s="5" customFormat="1" ht="30" customHeight="1" x14ac:dyDescent="0.15">
      <c r="A12" s="31" t="s">
        <v>885</v>
      </c>
      <c r="B12" s="31">
        <v>4</v>
      </c>
      <c r="C12" s="31">
        <v>1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2</v>
      </c>
      <c r="K12" s="31">
        <v>1</v>
      </c>
      <c r="L12" s="32">
        <v>0</v>
      </c>
      <c r="M12" s="31">
        <v>0</v>
      </c>
      <c r="N12" s="32">
        <v>0</v>
      </c>
    </row>
    <row r="13" spans="1:14" s="5" customFormat="1" ht="30" customHeight="1" x14ac:dyDescent="0.1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4"/>
    </row>
    <row r="14" spans="1:14" s="5" customFormat="1" ht="30" customHeight="1" x14ac:dyDescent="0.15">
      <c r="A14" s="40" t="str">
        <f>"○ 가로주택 : "&amp;B16&amp;"개 구역"</f>
        <v>○ 가로주택 : 113개 구역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0"/>
    </row>
    <row r="15" spans="1:14" s="5" customFormat="1" ht="30" customHeight="1" x14ac:dyDescent="0.15">
      <c r="A15" s="56" t="s">
        <v>841</v>
      </c>
      <c r="B15" s="57" t="s">
        <v>842</v>
      </c>
      <c r="C15" s="58" t="s">
        <v>852</v>
      </c>
      <c r="D15" s="57" t="s">
        <v>858</v>
      </c>
      <c r="E15" s="57" t="s">
        <v>853</v>
      </c>
      <c r="F15" s="59" t="s">
        <v>854</v>
      </c>
      <c r="G15" s="59" t="s">
        <v>848</v>
      </c>
      <c r="H15" s="59" t="s">
        <v>818</v>
      </c>
      <c r="I15" s="59" t="s">
        <v>870</v>
      </c>
      <c r="J15" s="29"/>
      <c r="K15" s="29"/>
      <c r="L15" s="29"/>
      <c r="M15" s="29"/>
      <c r="N15" s="30"/>
    </row>
    <row r="16" spans="1:14" s="5" customFormat="1" ht="30" customHeight="1" x14ac:dyDescent="0.15">
      <c r="A16" s="44" t="s">
        <v>855</v>
      </c>
      <c r="B16" s="31">
        <v>113</v>
      </c>
      <c r="C16" s="31">
        <v>20</v>
      </c>
      <c r="D16" s="31">
        <v>15</v>
      </c>
      <c r="E16" s="31">
        <v>38</v>
      </c>
      <c r="F16" s="31">
        <v>23</v>
      </c>
      <c r="G16" s="31">
        <v>14</v>
      </c>
      <c r="H16" s="31">
        <v>2</v>
      </c>
      <c r="I16" s="31">
        <v>1</v>
      </c>
      <c r="J16" s="29"/>
      <c r="K16" s="29"/>
      <c r="L16" s="29"/>
      <c r="M16" s="29"/>
      <c r="N16" s="30"/>
    </row>
    <row r="17" spans="1:14" s="5" customFormat="1" ht="30" customHeight="1" x14ac:dyDescent="0.15">
      <c r="A17" s="43"/>
      <c r="B17" s="46"/>
      <c r="C17" s="51"/>
      <c r="D17" s="47"/>
      <c r="E17" s="33"/>
      <c r="F17" s="33"/>
      <c r="G17" s="33"/>
      <c r="H17" s="33"/>
      <c r="I17" s="29"/>
      <c r="J17" s="29"/>
      <c r="K17" s="29"/>
      <c r="L17" s="29"/>
      <c r="M17" s="29"/>
      <c r="N17" s="30"/>
    </row>
    <row r="18" spans="1:14" s="5" customFormat="1" ht="30" customHeight="1" x14ac:dyDescent="0.15">
      <c r="A18" s="40" t="str">
        <f>"○ 소규모재건축 : "&amp;B20&amp;"개 구역"</f>
        <v>○ 소규모재건축 : 30개 구역</v>
      </c>
      <c r="B18" s="48"/>
      <c r="C18" s="49"/>
      <c r="D18" s="50"/>
      <c r="E18" s="29"/>
      <c r="F18" s="29"/>
      <c r="G18" s="29"/>
      <c r="H18" s="29"/>
      <c r="I18" s="29"/>
      <c r="J18" s="29"/>
      <c r="K18" s="29"/>
      <c r="L18" s="29"/>
      <c r="M18" s="29"/>
      <c r="N18" s="30"/>
    </row>
    <row r="19" spans="1:14" s="5" customFormat="1" ht="30" customHeight="1" x14ac:dyDescent="0.15">
      <c r="A19" s="60" t="s">
        <v>841</v>
      </c>
      <c r="B19" s="60" t="s">
        <v>842</v>
      </c>
      <c r="C19" s="61" t="s">
        <v>851</v>
      </c>
      <c r="D19" s="60" t="s">
        <v>858</v>
      </c>
      <c r="E19" s="60" t="s">
        <v>853</v>
      </c>
      <c r="F19" s="60" t="s">
        <v>854</v>
      </c>
      <c r="G19" s="60" t="s">
        <v>848</v>
      </c>
      <c r="H19" s="60" t="s">
        <v>818</v>
      </c>
      <c r="I19" s="60" t="s">
        <v>870</v>
      </c>
      <c r="J19" s="29"/>
      <c r="K19" s="29"/>
      <c r="L19" s="29"/>
      <c r="M19" s="29"/>
      <c r="N19" s="30"/>
    </row>
    <row r="20" spans="1:14" s="5" customFormat="1" ht="30" customHeight="1" x14ac:dyDescent="0.15">
      <c r="A20" s="85" t="s">
        <v>859</v>
      </c>
      <c r="B20" s="84">
        <f>SUM(C20:J20)</f>
        <v>30</v>
      </c>
      <c r="C20" s="84">
        <v>5</v>
      </c>
      <c r="D20" s="84">
        <v>1</v>
      </c>
      <c r="E20" s="84">
        <v>13</v>
      </c>
      <c r="F20" s="84">
        <v>3</v>
      </c>
      <c r="G20" s="84">
        <v>5</v>
      </c>
      <c r="H20" s="84">
        <v>3</v>
      </c>
      <c r="I20" s="85">
        <v>0</v>
      </c>
      <c r="J20" s="29"/>
      <c r="K20" s="38"/>
      <c r="L20" s="38"/>
      <c r="M20" s="38"/>
      <c r="N20" s="39"/>
    </row>
    <row r="27" spans="1:14" x14ac:dyDescent="0.15">
      <c r="K27" s="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3"/>
  <sheetViews>
    <sheetView view="pageBreakPreview" zoomScale="85" zoomScaleNormal="85" zoomScaleSheetLayoutView="85" workbookViewId="0">
      <pane xSplit="2" ySplit="3" topLeftCell="C4" activePane="bottomRight" state="frozen"/>
      <selection activeCell="C14" sqref="C14"/>
      <selection pane="topRight" activeCell="C14" sqref="C14"/>
      <selection pane="bottomLeft" activeCell="C14" sqref="C14"/>
      <selection pane="bottomRight" activeCell="O9" sqref="O9"/>
    </sheetView>
  </sheetViews>
  <sheetFormatPr defaultRowHeight="16.5" x14ac:dyDescent="0.3"/>
  <cols>
    <col min="1" max="1" width="5.88671875" style="23" customWidth="1"/>
    <col min="2" max="2" width="12.77734375" style="23" customWidth="1"/>
    <col min="3" max="3" width="16.109375" style="23" bestFit="1" customWidth="1"/>
    <col min="4" max="4" width="16.77734375" style="23" customWidth="1"/>
    <col min="5" max="10" width="8.77734375" style="23" customWidth="1"/>
    <col min="11" max="11" width="12.44140625" style="23" customWidth="1"/>
    <col min="12" max="12" width="26.44140625" style="23" customWidth="1"/>
    <col min="13" max="13" width="10.6640625" style="23" customWidth="1"/>
    <col min="14" max="14" width="8.77734375" style="23" customWidth="1"/>
    <col min="15" max="15" width="10.44140625" style="23" customWidth="1"/>
    <col min="16" max="16" width="11.33203125" style="23" customWidth="1"/>
    <col min="17" max="20" width="8.77734375" style="23" customWidth="1"/>
    <col min="21" max="21" width="23.44140625" style="23" customWidth="1"/>
    <col min="22" max="16384" width="8.88671875" style="23"/>
  </cols>
  <sheetData>
    <row r="1" spans="1:21" s="21" customFormat="1" ht="60.75" customHeight="1" thickBot="1" x14ac:dyDescent="0.2">
      <c r="A1" s="170" t="s">
        <v>387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</row>
    <row r="2" spans="1:21" s="21" customFormat="1" ht="36" customHeight="1" x14ac:dyDescent="0.15">
      <c r="A2" s="172" t="s">
        <v>0</v>
      </c>
      <c r="B2" s="167" t="s">
        <v>16</v>
      </c>
      <c r="C2" s="167" t="s">
        <v>93</v>
      </c>
      <c r="D2" s="167" t="s">
        <v>92</v>
      </c>
      <c r="E2" s="167" t="s">
        <v>2</v>
      </c>
      <c r="F2" s="167"/>
      <c r="G2" s="167"/>
      <c r="H2" s="174" t="s">
        <v>3</v>
      </c>
      <c r="I2" s="174"/>
      <c r="J2" s="174"/>
      <c r="K2" s="167" t="s">
        <v>17</v>
      </c>
      <c r="L2" s="167" t="s">
        <v>95</v>
      </c>
      <c r="M2" s="174" t="s">
        <v>15</v>
      </c>
      <c r="N2" s="174"/>
      <c r="O2" s="167" t="s">
        <v>100</v>
      </c>
      <c r="P2" s="167" t="s">
        <v>96</v>
      </c>
      <c r="Q2" s="167" t="s">
        <v>99</v>
      </c>
      <c r="R2" s="167" t="s">
        <v>98</v>
      </c>
      <c r="S2" s="167" t="s">
        <v>97</v>
      </c>
      <c r="T2" s="167" t="s">
        <v>6</v>
      </c>
      <c r="U2" s="175" t="s">
        <v>18</v>
      </c>
    </row>
    <row r="3" spans="1:21" s="21" customFormat="1" ht="36" customHeight="1" x14ac:dyDescent="0.15">
      <c r="A3" s="173"/>
      <c r="B3" s="168"/>
      <c r="C3" s="169"/>
      <c r="D3" s="168"/>
      <c r="E3" s="25" t="s">
        <v>7</v>
      </c>
      <c r="F3" s="25" t="s">
        <v>14</v>
      </c>
      <c r="G3" s="25" t="s">
        <v>8</v>
      </c>
      <c r="H3" s="25" t="s">
        <v>9</v>
      </c>
      <c r="I3" s="26" t="s">
        <v>10</v>
      </c>
      <c r="J3" s="26" t="s">
        <v>11</v>
      </c>
      <c r="K3" s="169"/>
      <c r="L3" s="169"/>
      <c r="M3" s="26" t="s">
        <v>94</v>
      </c>
      <c r="N3" s="25" t="s">
        <v>13</v>
      </c>
      <c r="O3" s="169"/>
      <c r="P3" s="169"/>
      <c r="Q3" s="168"/>
      <c r="R3" s="168"/>
      <c r="S3" s="169"/>
      <c r="T3" s="169"/>
      <c r="U3" s="176"/>
    </row>
    <row r="4" spans="1:21" s="22" customFormat="1" ht="50.1" customHeight="1" x14ac:dyDescent="0.2">
      <c r="A4" s="73">
        <v>1</v>
      </c>
      <c r="B4" s="74" t="s">
        <v>101</v>
      </c>
      <c r="C4" s="74" t="s">
        <v>159</v>
      </c>
      <c r="D4" s="74" t="s">
        <v>160</v>
      </c>
      <c r="E4" s="76">
        <v>3724</v>
      </c>
      <c r="F4" s="76">
        <v>3535</v>
      </c>
      <c r="G4" s="76">
        <v>189</v>
      </c>
      <c r="H4" s="77" t="s">
        <v>102</v>
      </c>
      <c r="I4" s="86">
        <v>16.28</v>
      </c>
      <c r="J4" s="87">
        <v>239.17</v>
      </c>
      <c r="K4" s="77" t="s">
        <v>103</v>
      </c>
      <c r="L4" s="88" t="s">
        <v>161</v>
      </c>
      <c r="M4" s="88" t="s">
        <v>162</v>
      </c>
      <c r="N4" s="77" t="s">
        <v>104</v>
      </c>
      <c r="O4" s="88" t="s">
        <v>163</v>
      </c>
      <c r="P4" s="74" t="s">
        <v>388</v>
      </c>
      <c r="Q4" s="78" t="s">
        <v>105</v>
      </c>
      <c r="R4" s="78" t="s">
        <v>106</v>
      </c>
      <c r="S4" s="78" t="s">
        <v>164</v>
      </c>
      <c r="T4" s="89" t="s">
        <v>165</v>
      </c>
      <c r="U4" s="81" t="s">
        <v>166</v>
      </c>
    </row>
    <row r="5" spans="1:21" ht="59.25" customHeight="1" x14ac:dyDescent="0.3">
      <c r="A5" s="73">
        <v>2</v>
      </c>
      <c r="B5" s="74" t="s">
        <v>107</v>
      </c>
      <c r="C5" s="74" t="s">
        <v>108</v>
      </c>
      <c r="D5" s="74" t="s">
        <v>871</v>
      </c>
      <c r="E5" s="76">
        <v>759</v>
      </c>
      <c r="F5" s="76">
        <v>674</v>
      </c>
      <c r="G5" s="76">
        <v>85</v>
      </c>
      <c r="H5" s="77" t="s">
        <v>109</v>
      </c>
      <c r="I5" s="86">
        <v>23.36</v>
      </c>
      <c r="J5" s="87">
        <v>273.97000000000003</v>
      </c>
      <c r="K5" s="77" t="s">
        <v>110</v>
      </c>
      <c r="L5" s="88" t="s">
        <v>872</v>
      </c>
      <c r="M5" s="88" t="s">
        <v>873</v>
      </c>
      <c r="N5" s="77" t="s">
        <v>389</v>
      </c>
      <c r="O5" s="88" t="s">
        <v>874</v>
      </c>
      <c r="P5" s="74" t="s">
        <v>167</v>
      </c>
      <c r="Q5" s="78" t="s">
        <v>168</v>
      </c>
      <c r="R5" s="78" t="s">
        <v>891</v>
      </c>
      <c r="S5" s="89" t="s">
        <v>23</v>
      </c>
      <c r="T5" s="89" t="s">
        <v>23</v>
      </c>
      <c r="U5" s="81" t="s">
        <v>169</v>
      </c>
    </row>
    <row r="6" spans="1:21" ht="50.1" customHeight="1" x14ac:dyDescent="0.3">
      <c r="A6" s="73">
        <v>3</v>
      </c>
      <c r="B6" s="74" t="s">
        <v>111</v>
      </c>
      <c r="C6" s="74" t="s">
        <v>390</v>
      </c>
      <c r="D6" s="74" t="s">
        <v>391</v>
      </c>
      <c r="E6" s="76">
        <v>1649</v>
      </c>
      <c r="F6" s="76">
        <v>1517</v>
      </c>
      <c r="G6" s="76">
        <v>132</v>
      </c>
      <c r="H6" s="77" t="s">
        <v>112</v>
      </c>
      <c r="I6" s="77">
        <v>18.11</v>
      </c>
      <c r="J6" s="87">
        <v>287.88</v>
      </c>
      <c r="K6" s="88" t="s">
        <v>113</v>
      </c>
      <c r="L6" s="88" t="s">
        <v>392</v>
      </c>
      <c r="M6" s="88" t="s">
        <v>393</v>
      </c>
      <c r="N6" s="77" t="s">
        <v>114</v>
      </c>
      <c r="O6" s="88" t="s">
        <v>935</v>
      </c>
      <c r="P6" s="74" t="s">
        <v>170</v>
      </c>
      <c r="Q6" s="78" t="s">
        <v>892</v>
      </c>
      <c r="R6" s="78" t="s">
        <v>936</v>
      </c>
      <c r="S6" s="78" t="s">
        <v>23</v>
      </c>
      <c r="T6" s="89" t="s">
        <v>23</v>
      </c>
      <c r="U6" s="81" t="s">
        <v>4</v>
      </c>
    </row>
    <row r="7" spans="1:21" s="22" customFormat="1" ht="50.1" customHeight="1" x14ac:dyDescent="0.2">
      <c r="A7" s="73">
        <v>4</v>
      </c>
      <c r="B7" s="74" t="s">
        <v>122</v>
      </c>
      <c r="C7" s="74" t="s">
        <v>394</v>
      </c>
      <c r="D7" s="74" t="s">
        <v>937</v>
      </c>
      <c r="E7" s="76">
        <v>748</v>
      </c>
      <c r="F7" s="76">
        <v>688</v>
      </c>
      <c r="G7" s="76">
        <v>60</v>
      </c>
      <c r="H7" s="77" t="s">
        <v>617</v>
      </c>
      <c r="I7" s="86">
        <v>24.98</v>
      </c>
      <c r="J7" s="90">
        <v>316.97000000000003</v>
      </c>
      <c r="K7" s="77" t="s">
        <v>123</v>
      </c>
      <c r="L7" s="88" t="s">
        <v>938</v>
      </c>
      <c r="M7" s="88" t="s">
        <v>939</v>
      </c>
      <c r="N7" s="77" t="s">
        <v>171</v>
      </c>
      <c r="O7" s="88" t="s">
        <v>172</v>
      </c>
      <c r="P7" s="74" t="s">
        <v>23</v>
      </c>
      <c r="Q7" s="89" t="s">
        <v>23</v>
      </c>
      <c r="R7" s="89" t="s">
        <v>23</v>
      </c>
      <c r="S7" s="89" t="s">
        <v>23</v>
      </c>
      <c r="T7" s="89" t="s">
        <v>23</v>
      </c>
      <c r="U7" s="81" t="s">
        <v>386</v>
      </c>
    </row>
    <row r="8" spans="1:21" ht="50.1" customHeight="1" x14ac:dyDescent="0.3">
      <c r="A8" s="73">
        <v>5</v>
      </c>
      <c r="B8" s="74" t="s">
        <v>115</v>
      </c>
      <c r="C8" s="74" t="s">
        <v>395</v>
      </c>
      <c r="D8" s="74" t="s">
        <v>173</v>
      </c>
      <c r="E8" s="76">
        <v>1728</v>
      </c>
      <c r="F8" s="76">
        <v>1584</v>
      </c>
      <c r="G8" s="76">
        <v>144</v>
      </c>
      <c r="H8" s="77" t="s">
        <v>174</v>
      </c>
      <c r="I8" s="91">
        <v>40.880000000000003</v>
      </c>
      <c r="J8" s="91">
        <v>761.96</v>
      </c>
      <c r="K8" s="77" t="s">
        <v>116</v>
      </c>
      <c r="L8" s="88" t="s">
        <v>175</v>
      </c>
      <c r="M8" s="88" t="s">
        <v>893</v>
      </c>
      <c r="N8" s="88" t="s">
        <v>117</v>
      </c>
      <c r="O8" s="88" t="s">
        <v>940</v>
      </c>
      <c r="P8" s="89" t="s">
        <v>176</v>
      </c>
      <c r="Q8" s="89" t="s">
        <v>23</v>
      </c>
      <c r="R8" s="89" t="s">
        <v>23</v>
      </c>
      <c r="S8" s="89" t="s">
        <v>23</v>
      </c>
      <c r="T8" s="89" t="s">
        <v>23</v>
      </c>
      <c r="U8" s="81" t="s">
        <v>945</v>
      </c>
    </row>
    <row r="9" spans="1:21" ht="57" customHeight="1" x14ac:dyDescent="0.3">
      <c r="A9" s="73">
        <v>6</v>
      </c>
      <c r="B9" s="92" t="s">
        <v>118</v>
      </c>
      <c r="C9" s="92" t="s">
        <v>119</v>
      </c>
      <c r="D9" s="92" t="s">
        <v>177</v>
      </c>
      <c r="E9" s="76">
        <v>334</v>
      </c>
      <c r="F9" s="76">
        <v>334</v>
      </c>
      <c r="G9" s="76" t="s">
        <v>23</v>
      </c>
      <c r="H9" s="93" t="s">
        <v>120</v>
      </c>
      <c r="I9" s="94">
        <v>30</v>
      </c>
      <c r="J9" s="95">
        <v>993.2</v>
      </c>
      <c r="K9" s="96" t="s">
        <v>835</v>
      </c>
      <c r="L9" s="96" t="s">
        <v>121</v>
      </c>
      <c r="M9" s="96" t="s">
        <v>23</v>
      </c>
      <c r="N9" s="93" t="s">
        <v>23</v>
      </c>
      <c r="O9" s="77" t="s">
        <v>23</v>
      </c>
      <c r="P9" s="89" t="s">
        <v>23</v>
      </c>
      <c r="Q9" s="89" t="s">
        <v>23</v>
      </c>
      <c r="R9" s="89" t="s">
        <v>23</v>
      </c>
      <c r="S9" s="89" t="s">
        <v>23</v>
      </c>
      <c r="T9" s="89" t="s">
        <v>23</v>
      </c>
      <c r="U9" s="81" t="s">
        <v>946</v>
      </c>
    </row>
    <row r="10" spans="1:21" ht="50.1" customHeight="1" x14ac:dyDescent="0.3">
      <c r="A10" s="73">
        <v>7</v>
      </c>
      <c r="B10" s="74" t="s">
        <v>178</v>
      </c>
      <c r="C10" s="74" t="s">
        <v>396</v>
      </c>
      <c r="D10" s="74" t="s">
        <v>895</v>
      </c>
      <c r="E10" s="76">
        <v>2413</v>
      </c>
      <c r="F10" s="76">
        <v>2219</v>
      </c>
      <c r="G10" s="76">
        <v>194</v>
      </c>
      <c r="H10" s="77" t="s">
        <v>897</v>
      </c>
      <c r="I10" s="86">
        <v>18.71</v>
      </c>
      <c r="J10" s="86">
        <v>269.83</v>
      </c>
      <c r="K10" s="77" t="s">
        <v>836</v>
      </c>
      <c r="L10" s="88" t="s">
        <v>894</v>
      </c>
      <c r="M10" s="88" t="s">
        <v>896</v>
      </c>
      <c r="N10" s="77" t="s">
        <v>179</v>
      </c>
      <c r="O10" s="97" t="s">
        <v>941</v>
      </c>
      <c r="P10" s="97" t="s">
        <v>23</v>
      </c>
      <c r="Q10" s="89" t="s">
        <v>23</v>
      </c>
      <c r="R10" s="89" t="s">
        <v>23</v>
      </c>
      <c r="S10" s="89" t="s">
        <v>23</v>
      </c>
      <c r="T10" s="89" t="s">
        <v>23</v>
      </c>
      <c r="U10" s="81" t="s">
        <v>386</v>
      </c>
    </row>
    <row r="11" spans="1:21" ht="50.1" customHeight="1" x14ac:dyDescent="0.3">
      <c r="A11" s="73">
        <v>8</v>
      </c>
      <c r="B11" s="74" t="s">
        <v>180</v>
      </c>
      <c r="C11" s="80" t="s">
        <v>623</v>
      </c>
      <c r="D11" s="74" t="s">
        <v>181</v>
      </c>
      <c r="E11" s="76">
        <v>412</v>
      </c>
      <c r="F11" s="76">
        <v>379</v>
      </c>
      <c r="G11" s="98">
        <v>33</v>
      </c>
      <c r="H11" s="77" t="s">
        <v>182</v>
      </c>
      <c r="I11" s="77">
        <v>40</v>
      </c>
      <c r="J11" s="87">
        <v>252.6</v>
      </c>
      <c r="K11" s="89" t="s">
        <v>875</v>
      </c>
      <c r="L11" s="88" t="s">
        <v>397</v>
      </c>
      <c r="M11" s="89" t="s">
        <v>23</v>
      </c>
      <c r="N11" s="89" t="s">
        <v>23</v>
      </c>
      <c r="O11" s="89" t="s">
        <v>23</v>
      </c>
      <c r="P11" s="89" t="s">
        <v>23</v>
      </c>
      <c r="Q11" s="89" t="s">
        <v>23</v>
      </c>
      <c r="R11" s="89" t="s">
        <v>23</v>
      </c>
      <c r="S11" s="89" t="s">
        <v>23</v>
      </c>
      <c r="T11" s="89" t="s">
        <v>23</v>
      </c>
      <c r="U11" s="99" t="s">
        <v>622</v>
      </c>
    </row>
    <row r="12" spans="1:21" ht="50.1" customHeight="1" x14ac:dyDescent="0.3">
      <c r="A12" s="161" t="s">
        <v>914</v>
      </c>
      <c r="B12" s="111" t="s">
        <v>915</v>
      </c>
      <c r="C12" s="162"/>
      <c r="D12" s="162" t="s">
        <v>916</v>
      </c>
      <c r="E12" s="163" t="s">
        <v>23</v>
      </c>
      <c r="F12" s="163" t="s">
        <v>23</v>
      </c>
      <c r="G12" s="163" t="s">
        <v>23</v>
      </c>
      <c r="H12" s="163" t="s">
        <v>23</v>
      </c>
      <c r="I12" s="163" t="s">
        <v>23</v>
      </c>
      <c r="J12" s="163" t="s">
        <v>23</v>
      </c>
      <c r="K12" s="163" t="s">
        <v>23</v>
      </c>
      <c r="L12" s="163" t="s">
        <v>23</v>
      </c>
      <c r="M12" s="163" t="s">
        <v>23</v>
      </c>
      <c r="N12" s="163" t="s">
        <v>23</v>
      </c>
      <c r="O12" s="163" t="s">
        <v>23</v>
      </c>
      <c r="P12" s="163" t="s">
        <v>23</v>
      </c>
      <c r="Q12" s="163" t="s">
        <v>23</v>
      </c>
      <c r="R12" s="163" t="s">
        <v>23</v>
      </c>
      <c r="S12" s="163" t="s">
        <v>23</v>
      </c>
      <c r="T12" s="163" t="s">
        <v>23</v>
      </c>
      <c r="U12" s="164" t="s">
        <v>947</v>
      </c>
    </row>
    <row r="13" spans="1:21" ht="20.25" customHeight="1" x14ac:dyDescent="0.3">
      <c r="A13" s="24" t="s">
        <v>66</v>
      </c>
    </row>
  </sheetData>
  <mergeCells count="17">
    <mergeCell ref="Q2:Q3"/>
    <mergeCell ref="R2:R3"/>
    <mergeCell ref="S2:S3"/>
    <mergeCell ref="T2:T3"/>
    <mergeCell ref="A1:U1"/>
    <mergeCell ref="A2:A3"/>
    <mergeCell ref="B2:B3"/>
    <mergeCell ref="C2:C3"/>
    <mergeCell ref="D2:D3"/>
    <mergeCell ref="E2:G2"/>
    <mergeCell ref="H2:J2"/>
    <mergeCell ref="K2:K3"/>
    <mergeCell ref="L2:L3"/>
    <mergeCell ref="M2:N2"/>
    <mergeCell ref="U2:U3"/>
    <mergeCell ref="O2:O3"/>
    <mergeCell ref="P2:P3"/>
  </mergeCells>
  <phoneticPr fontId="2" type="noConversion"/>
  <pageMargins left="0.27559055118110237" right="0.19685039370078741" top="0.43307086614173229" bottom="0.27559055118110237" header="0.39370078740157483" footer="0"/>
  <pageSetup paperSize="9" scale="51" orientation="landscape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H27"/>
  <sheetViews>
    <sheetView view="pageBreakPreview" zoomScale="70" zoomScaleNormal="100" zoomScaleSheetLayoutView="70" workbookViewId="0">
      <pane xSplit="2" ySplit="3" topLeftCell="C4" activePane="bottomRight" state="frozen"/>
      <selection activeCell="F9" sqref="F9"/>
      <selection pane="topRight" activeCell="F9" sqref="F9"/>
      <selection pane="bottomLeft" activeCell="F9" sqref="F9"/>
      <selection pane="bottomRight" activeCell="F11" sqref="F11"/>
    </sheetView>
  </sheetViews>
  <sheetFormatPr defaultRowHeight="13.5" x14ac:dyDescent="0.15"/>
  <cols>
    <col min="1" max="1" width="5.77734375" style="15" customWidth="1"/>
    <col min="2" max="2" width="11" style="15" customWidth="1"/>
    <col min="3" max="3" width="17.109375" style="15" customWidth="1"/>
    <col min="4" max="4" width="19.21875" style="15" customWidth="1"/>
    <col min="5" max="6" width="8.77734375" style="15" customWidth="1"/>
    <col min="7" max="7" width="8.77734375" style="19" customWidth="1"/>
    <col min="8" max="10" width="8.77734375" style="15" customWidth="1"/>
    <col min="11" max="11" width="10.44140625" style="15" bestFit="1" customWidth="1"/>
    <col min="12" max="12" width="10.5546875" style="15" customWidth="1"/>
    <col min="13" max="20" width="8.77734375" style="15" customWidth="1"/>
    <col min="21" max="21" width="19.88671875" style="20" customWidth="1"/>
    <col min="22" max="112" width="8.88671875" style="14"/>
    <col min="113" max="16384" width="8.88671875" style="15"/>
  </cols>
  <sheetData>
    <row r="1" spans="1:21" ht="60.75" customHeight="1" thickBot="1" x14ac:dyDescent="0.2">
      <c r="A1" s="177" t="s">
        <v>30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 ht="30" customHeight="1" x14ac:dyDescent="0.15">
      <c r="A2" s="172" t="s">
        <v>0</v>
      </c>
      <c r="B2" s="167" t="s">
        <v>16</v>
      </c>
      <c r="C2" s="167" t="s">
        <v>22</v>
      </c>
      <c r="D2" s="167" t="s">
        <v>1</v>
      </c>
      <c r="E2" s="167" t="s">
        <v>2</v>
      </c>
      <c r="F2" s="167"/>
      <c r="G2" s="167"/>
      <c r="H2" s="174" t="s">
        <v>3</v>
      </c>
      <c r="I2" s="174"/>
      <c r="J2" s="174"/>
      <c r="K2" s="167" t="s">
        <v>17</v>
      </c>
      <c r="L2" s="167" t="s">
        <v>19</v>
      </c>
      <c r="M2" s="174" t="s">
        <v>15</v>
      </c>
      <c r="N2" s="174"/>
      <c r="O2" s="167" t="s">
        <v>24</v>
      </c>
      <c r="P2" s="167" t="s">
        <v>25</v>
      </c>
      <c r="Q2" s="174" t="s">
        <v>4</v>
      </c>
      <c r="R2" s="167" t="s">
        <v>5</v>
      </c>
      <c r="S2" s="167" t="s">
        <v>29</v>
      </c>
      <c r="T2" s="167" t="s">
        <v>6</v>
      </c>
      <c r="U2" s="179" t="s">
        <v>18</v>
      </c>
    </row>
    <row r="3" spans="1:21" ht="30" customHeight="1" x14ac:dyDescent="0.15">
      <c r="A3" s="173"/>
      <c r="B3" s="168"/>
      <c r="C3" s="169"/>
      <c r="D3" s="168"/>
      <c r="E3" s="25" t="s">
        <v>7</v>
      </c>
      <c r="F3" s="25" t="s">
        <v>14</v>
      </c>
      <c r="G3" s="25" t="s">
        <v>8</v>
      </c>
      <c r="H3" s="25" t="s">
        <v>9</v>
      </c>
      <c r="I3" s="26" t="s">
        <v>10</v>
      </c>
      <c r="J3" s="26" t="s">
        <v>11</v>
      </c>
      <c r="K3" s="169"/>
      <c r="L3" s="169"/>
      <c r="M3" s="25" t="s">
        <v>12</v>
      </c>
      <c r="N3" s="25" t="s">
        <v>13</v>
      </c>
      <c r="O3" s="169"/>
      <c r="P3" s="169"/>
      <c r="Q3" s="168"/>
      <c r="R3" s="168"/>
      <c r="S3" s="169"/>
      <c r="T3" s="169"/>
      <c r="U3" s="176"/>
    </row>
    <row r="4" spans="1:21" s="16" customFormat="1" ht="45" customHeight="1" x14ac:dyDescent="0.3">
      <c r="A4" s="3">
        <v>1</v>
      </c>
      <c r="B4" s="74" t="s">
        <v>26</v>
      </c>
      <c r="C4" s="74" t="s">
        <v>140</v>
      </c>
      <c r="D4" s="74" t="s">
        <v>152</v>
      </c>
      <c r="E4" s="75">
        <v>1045</v>
      </c>
      <c r="F4" s="75">
        <v>1045</v>
      </c>
      <c r="G4" s="75"/>
      <c r="H4" s="77" t="s">
        <v>154</v>
      </c>
      <c r="I4" s="100" t="s">
        <v>20</v>
      </c>
      <c r="J4" s="86">
        <v>268.32</v>
      </c>
      <c r="K4" s="77" t="s">
        <v>40</v>
      </c>
      <c r="L4" s="74" t="s">
        <v>37</v>
      </c>
      <c r="M4" s="74" t="s">
        <v>142</v>
      </c>
      <c r="N4" s="74" t="s">
        <v>141</v>
      </c>
      <c r="O4" s="74" t="s">
        <v>125</v>
      </c>
      <c r="P4" s="74" t="s">
        <v>139</v>
      </c>
      <c r="Q4" s="78" t="s">
        <v>158</v>
      </c>
      <c r="R4" s="101"/>
      <c r="S4" s="102"/>
      <c r="T4" s="102"/>
      <c r="U4" s="81" t="s">
        <v>4</v>
      </c>
    </row>
    <row r="5" spans="1:21" s="16" customFormat="1" ht="45" customHeight="1" x14ac:dyDescent="0.3">
      <c r="A5" s="3">
        <v>2</v>
      </c>
      <c r="B5" s="74" t="s">
        <v>27</v>
      </c>
      <c r="C5" s="74" t="s">
        <v>33</v>
      </c>
      <c r="D5" s="74" t="s">
        <v>153</v>
      </c>
      <c r="E5" s="75">
        <v>335</v>
      </c>
      <c r="F5" s="75">
        <v>335</v>
      </c>
      <c r="G5" s="75"/>
      <c r="H5" s="77" t="s">
        <v>155</v>
      </c>
      <c r="I5" s="100" t="s">
        <v>20</v>
      </c>
      <c r="J5" s="103" t="s">
        <v>156</v>
      </c>
      <c r="K5" s="77" t="s">
        <v>39</v>
      </c>
      <c r="L5" s="74" t="s">
        <v>38</v>
      </c>
      <c r="M5" s="78" t="s">
        <v>44</v>
      </c>
      <c r="N5" s="78" t="s">
        <v>157</v>
      </c>
      <c r="O5" s="74" t="s">
        <v>151</v>
      </c>
      <c r="P5" s="102"/>
      <c r="Q5" s="101"/>
      <c r="R5" s="101"/>
      <c r="S5" s="102"/>
      <c r="T5" s="102"/>
      <c r="U5" s="81" t="s">
        <v>64</v>
      </c>
    </row>
    <row r="6" spans="1:21" s="16" customFormat="1" ht="45" customHeight="1" x14ac:dyDescent="0.3">
      <c r="A6" s="3">
        <v>3</v>
      </c>
      <c r="B6" s="104" t="s">
        <v>143</v>
      </c>
      <c r="C6" s="74" t="s">
        <v>45</v>
      </c>
      <c r="D6" s="74" t="s">
        <v>46</v>
      </c>
      <c r="E6" s="75">
        <v>441</v>
      </c>
      <c r="F6" s="75">
        <v>441</v>
      </c>
      <c r="G6" s="75"/>
      <c r="H6" s="77"/>
      <c r="I6" s="100"/>
      <c r="J6" s="103"/>
      <c r="K6" s="77" t="s">
        <v>47</v>
      </c>
      <c r="L6" s="74"/>
      <c r="M6" s="78"/>
      <c r="N6" s="78"/>
      <c r="O6" s="102"/>
      <c r="P6" s="102"/>
      <c r="Q6" s="101"/>
      <c r="R6" s="101"/>
      <c r="S6" s="102"/>
      <c r="T6" s="102"/>
      <c r="U6" s="81" t="s">
        <v>876</v>
      </c>
    </row>
    <row r="7" spans="1:21" s="16" customFormat="1" ht="45" customHeight="1" x14ac:dyDescent="0.3">
      <c r="A7" s="3">
        <v>4</v>
      </c>
      <c r="B7" s="74" t="s">
        <v>618</v>
      </c>
      <c r="C7" s="74"/>
      <c r="D7" s="74" t="s">
        <v>619</v>
      </c>
      <c r="E7" s="75">
        <v>747</v>
      </c>
      <c r="F7" s="75">
        <v>747</v>
      </c>
      <c r="G7" s="75"/>
      <c r="H7" s="77" t="s">
        <v>621</v>
      </c>
      <c r="I7" s="100" t="s">
        <v>20</v>
      </c>
      <c r="J7" s="86" t="s">
        <v>620</v>
      </c>
      <c r="K7" s="77" t="s">
        <v>826</v>
      </c>
      <c r="L7" s="74" t="s">
        <v>898</v>
      </c>
      <c r="M7" s="78"/>
      <c r="N7" s="78"/>
      <c r="O7" s="102"/>
      <c r="P7" s="102"/>
      <c r="Q7" s="101"/>
      <c r="R7" s="101"/>
      <c r="S7" s="102"/>
      <c r="T7" s="102"/>
      <c r="U7" s="81" t="s">
        <v>942</v>
      </c>
    </row>
    <row r="8" spans="1:21" s="16" customFormat="1" ht="45" customHeight="1" x14ac:dyDescent="0.3">
      <c r="A8" s="3">
        <v>5</v>
      </c>
      <c r="B8" s="74" t="s">
        <v>82</v>
      </c>
      <c r="C8" s="74"/>
      <c r="D8" s="74" t="s">
        <v>83</v>
      </c>
      <c r="E8" s="75"/>
      <c r="F8" s="75"/>
      <c r="G8" s="75"/>
      <c r="H8" s="77"/>
      <c r="I8" s="100"/>
      <c r="J8" s="103"/>
      <c r="K8" s="77" t="s">
        <v>827</v>
      </c>
      <c r="L8" s="74"/>
      <c r="M8" s="78"/>
      <c r="N8" s="78"/>
      <c r="O8" s="102"/>
      <c r="P8" s="102"/>
      <c r="Q8" s="101"/>
      <c r="R8" s="101"/>
      <c r="S8" s="102"/>
      <c r="T8" s="102"/>
      <c r="U8" s="81" t="s">
        <v>828</v>
      </c>
    </row>
    <row r="9" spans="1:21" s="16" customFormat="1" ht="45" customHeight="1" x14ac:dyDescent="0.3">
      <c r="A9" s="3">
        <v>6</v>
      </c>
      <c r="B9" s="74" t="s">
        <v>50</v>
      </c>
      <c r="C9" s="74"/>
      <c r="D9" s="74" t="s">
        <v>57</v>
      </c>
      <c r="E9" s="75"/>
      <c r="F9" s="75"/>
      <c r="G9" s="75"/>
      <c r="H9" s="77"/>
      <c r="I9" s="100"/>
      <c r="J9" s="103"/>
      <c r="K9" s="77"/>
      <c r="L9" s="74"/>
      <c r="M9" s="78"/>
      <c r="N9" s="78"/>
      <c r="O9" s="102"/>
      <c r="P9" s="102"/>
      <c r="Q9" s="101"/>
      <c r="R9" s="101"/>
      <c r="S9" s="102"/>
      <c r="T9" s="102"/>
      <c r="U9" s="81" t="s">
        <v>860</v>
      </c>
    </row>
    <row r="10" spans="1:21" s="16" customFormat="1" ht="36" x14ac:dyDescent="0.3">
      <c r="A10" s="3">
        <v>7</v>
      </c>
      <c r="B10" s="74" t="s">
        <v>49</v>
      </c>
      <c r="C10" s="74"/>
      <c r="D10" s="74" t="s">
        <v>56</v>
      </c>
      <c r="E10" s="75"/>
      <c r="F10" s="75"/>
      <c r="G10" s="75"/>
      <c r="H10" s="77"/>
      <c r="I10" s="100"/>
      <c r="J10" s="103"/>
      <c r="K10" s="77"/>
      <c r="L10" s="74"/>
      <c r="M10" s="78"/>
      <c r="N10" s="78"/>
      <c r="O10" s="102"/>
      <c r="P10" s="102"/>
      <c r="Q10" s="101"/>
      <c r="R10" s="101"/>
      <c r="S10" s="102"/>
      <c r="T10" s="102"/>
      <c r="U10" s="81" t="s">
        <v>62</v>
      </c>
    </row>
    <row r="11" spans="1:21" s="16" customFormat="1" ht="45" customHeight="1" x14ac:dyDescent="0.3">
      <c r="A11" s="3">
        <v>8</v>
      </c>
      <c r="B11" s="74" t="s">
        <v>48</v>
      </c>
      <c r="C11" s="74"/>
      <c r="D11" s="74" t="s">
        <v>55</v>
      </c>
      <c r="E11" s="75"/>
      <c r="F11" s="75"/>
      <c r="G11" s="75"/>
      <c r="H11" s="77"/>
      <c r="I11" s="100"/>
      <c r="J11" s="103"/>
      <c r="K11" s="77"/>
      <c r="L11" s="74"/>
      <c r="M11" s="78"/>
      <c r="N11" s="78"/>
      <c r="O11" s="102"/>
      <c r="P11" s="102"/>
      <c r="Q11" s="101"/>
      <c r="R11" s="101"/>
      <c r="S11" s="102"/>
      <c r="T11" s="102"/>
      <c r="U11" s="81" t="s">
        <v>62</v>
      </c>
    </row>
    <row r="12" spans="1:21" s="16" customFormat="1" ht="45" customHeight="1" x14ac:dyDescent="0.3">
      <c r="A12" s="3">
        <v>9</v>
      </c>
      <c r="B12" s="74" t="s">
        <v>51</v>
      </c>
      <c r="C12" s="74"/>
      <c r="D12" s="74" t="s">
        <v>58</v>
      </c>
      <c r="E12" s="75"/>
      <c r="F12" s="75"/>
      <c r="G12" s="75"/>
      <c r="H12" s="77"/>
      <c r="I12" s="100"/>
      <c r="J12" s="103"/>
      <c r="K12" s="77"/>
      <c r="L12" s="74"/>
      <c r="M12" s="78"/>
      <c r="N12" s="78"/>
      <c r="O12" s="102"/>
      <c r="P12" s="102"/>
      <c r="Q12" s="101"/>
      <c r="R12" s="101"/>
      <c r="S12" s="102"/>
      <c r="T12" s="102"/>
      <c r="U12" s="81" t="s">
        <v>860</v>
      </c>
    </row>
    <row r="13" spans="1:21" s="16" customFormat="1" ht="45" customHeight="1" x14ac:dyDescent="0.3">
      <c r="A13" s="3">
        <v>10</v>
      </c>
      <c r="B13" s="74" t="s">
        <v>52</v>
      </c>
      <c r="C13" s="74"/>
      <c r="D13" s="74" t="s">
        <v>59</v>
      </c>
      <c r="E13" s="75"/>
      <c r="F13" s="75"/>
      <c r="G13" s="75"/>
      <c r="H13" s="77"/>
      <c r="I13" s="100"/>
      <c r="J13" s="103"/>
      <c r="K13" s="77"/>
      <c r="L13" s="74"/>
      <c r="M13" s="78"/>
      <c r="N13" s="78"/>
      <c r="O13" s="102"/>
      <c r="P13" s="102"/>
      <c r="Q13" s="101"/>
      <c r="R13" s="101"/>
      <c r="S13" s="102"/>
      <c r="T13" s="102"/>
      <c r="U13" s="81" t="s">
        <v>860</v>
      </c>
    </row>
    <row r="14" spans="1:21" s="16" customFormat="1" ht="45" customHeight="1" x14ac:dyDescent="0.3">
      <c r="A14" s="3">
        <v>11</v>
      </c>
      <c r="B14" s="74" t="s">
        <v>53</v>
      </c>
      <c r="C14" s="74"/>
      <c r="D14" s="74" t="s">
        <v>60</v>
      </c>
      <c r="E14" s="75"/>
      <c r="F14" s="75"/>
      <c r="G14" s="75"/>
      <c r="H14" s="77"/>
      <c r="I14" s="100"/>
      <c r="J14" s="103"/>
      <c r="K14" s="77"/>
      <c r="L14" s="74"/>
      <c r="M14" s="78"/>
      <c r="N14" s="78"/>
      <c r="O14" s="102"/>
      <c r="P14" s="102"/>
      <c r="Q14" s="101"/>
      <c r="R14" s="101"/>
      <c r="S14" s="102"/>
      <c r="T14" s="102"/>
      <c r="U14" s="81" t="s">
        <v>62</v>
      </c>
    </row>
    <row r="15" spans="1:21" s="16" customFormat="1" ht="45" customHeight="1" x14ac:dyDescent="0.3">
      <c r="A15" s="3">
        <v>12</v>
      </c>
      <c r="B15" s="74" t="s">
        <v>54</v>
      </c>
      <c r="C15" s="74"/>
      <c r="D15" s="74" t="s">
        <v>65</v>
      </c>
      <c r="E15" s="75"/>
      <c r="F15" s="75"/>
      <c r="G15" s="75"/>
      <c r="H15" s="77"/>
      <c r="I15" s="100"/>
      <c r="J15" s="103"/>
      <c r="K15" s="77"/>
      <c r="L15" s="74"/>
      <c r="M15" s="78"/>
      <c r="N15" s="78"/>
      <c r="O15" s="102"/>
      <c r="P15" s="102"/>
      <c r="Q15" s="101"/>
      <c r="R15" s="101"/>
      <c r="S15" s="102"/>
      <c r="T15" s="102"/>
      <c r="U15" s="81" t="s">
        <v>62</v>
      </c>
    </row>
    <row r="16" spans="1:21" s="16" customFormat="1" ht="45" customHeight="1" x14ac:dyDescent="0.3">
      <c r="A16" s="3">
        <v>13</v>
      </c>
      <c r="B16" s="74" t="s">
        <v>90</v>
      </c>
      <c r="C16" s="74"/>
      <c r="D16" s="74" t="s">
        <v>91</v>
      </c>
      <c r="E16" s="75"/>
      <c r="F16" s="75"/>
      <c r="G16" s="75"/>
      <c r="H16" s="77"/>
      <c r="I16" s="100"/>
      <c r="J16" s="103"/>
      <c r="K16" s="77"/>
      <c r="L16" s="74"/>
      <c r="M16" s="78"/>
      <c r="N16" s="78"/>
      <c r="O16" s="102"/>
      <c r="P16" s="102"/>
      <c r="Q16" s="101"/>
      <c r="R16" s="101"/>
      <c r="S16" s="102"/>
      <c r="T16" s="102"/>
      <c r="U16" s="81" t="s">
        <v>62</v>
      </c>
    </row>
    <row r="17" spans="1:112" s="16" customFormat="1" ht="45" customHeight="1" x14ac:dyDescent="0.3">
      <c r="A17" s="3">
        <v>14</v>
      </c>
      <c r="B17" s="74" t="s">
        <v>84</v>
      </c>
      <c r="C17" s="74"/>
      <c r="D17" s="74" t="s">
        <v>85</v>
      </c>
      <c r="E17" s="75"/>
      <c r="F17" s="75"/>
      <c r="G17" s="75"/>
      <c r="H17" s="77"/>
      <c r="I17" s="100"/>
      <c r="J17" s="103"/>
      <c r="K17" s="77"/>
      <c r="L17" s="74"/>
      <c r="M17" s="78"/>
      <c r="N17" s="78"/>
      <c r="O17" s="102"/>
      <c r="P17" s="102"/>
      <c r="Q17" s="101"/>
      <c r="R17" s="101"/>
      <c r="S17" s="102"/>
      <c r="T17" s="102"/>
      <c r="U17" s="81" t="s">
        <v>62</v>
      </c>
    </row>
    <row r="18" spans="1:112" s="16" customFormat="1" ht="45" customHeight="1" x14ac:dyDescent="0.3">
      <c r="A18" s="3">
        <v>15</v>
      </c>
      <c r="B18" s="74" t="s">
        <v>86</v>
      </c>
      <c r="C18" s="74"/>
      <c r="D18" s="74" t="s">
        <v>87</v>
      </c>
      <c r="E18" s="75"/>
      <c r="F18" s="75"/>
      <c r="G18" s="75"/>
      <c r="H18" s="77"/>
      <c r="I18" s="100"/>
      <c r="J18" s="103"/>
      <c r="K18" s="77"/>
      <c r="L18" s="74"/>
      <c r="M18" s="78"/>
      <c r="N18" s="78"/>
      <c r="O18" s="102"/>
      <c r="P18" s="102"/>
      <c r="Q18" s="101"/>
      <c r="R18" s="101"/>
      <c r="S18" s="102"/>
      <c r="T18" s="102"/>
      <c r="U18" s="81" t="s">
        <v>62</v>
      </c>
    </row>
    <row r="19" spans="1:112" s="16" customFormat="1" ht="45" customHeight="1" x14ac:dyDescent="0.3">
      <c r="A19" s="3">
        <v>16</v>
      </c>
      <c r="B19" s="74" t="s">
        <v>88</v>
      </c>
      <c r="C19" s="74"/>
      <c r="D19" s="74" t="s">
        <v>89</v>
      </c>
      <c r="E19" s="75"/>
      <c r="F19" s="75"/>
      <c r="G19" s="75"/>
      <c r="H19" s="77"/>
      <c r="I19" s="100"/>
      <c r="J19" s="103"/>
      <c r="K19" s="77"/>
      <c r="L19" s="74"/>
      <c r="M19" s="78"/>
      <c r="N19" s="78"/>
      <c r="O19" s="102"/>
      <c r="P19" s="102"/>
      <c r="Q19" s="101"/>
      <c r="R19" s="101"/>
      <c r="S19" s="102"/>
      <c r="T19" s="102"/>
      <c r="U19" s="81" t="s">
        <v>62</v>
      </c>
    </row>
    <row r="20" spans="1:112" s="16" customFormat="1" ht="45" customHeight="1" x14ac:dyDescent="0.3">
      <c r="A20" s="3">
        <v>17</v>
      </c>
      <c r="B20" s="104" t="s">
        <v>144</v>
      </c>
      <c r="C20" s="74"/>
      <c r="D20" s="74" t="s">
        <v>126</v>
      </c>
      <c r="E20" s="75"/>
      <c r="F20" s="75"/>
      <c r="G20" s="75"/>
      <c r="H20" s="77"/>
      <c r="I20" s="100"/>
      <c r="J20" s="103"/>
      <c r="K20" s="77"/>
      <c r="L20" s="74"/>
      <c r="M20" s="78"/>
      <c r="N20" s="78"/>
      <c r="O20" s="102"/>
      <c r="P20" s="102"/>
      <c r="Q20" s="101"/>
      <c r="R20" s="101"/>
      <c r="S20" s="102"/>
      <c r="T20" s="102"/>
      <c r="U20" s="81" t="s">
        <v>860</v>
      </c>
    </row>
    <row r="21" spans="1:112" s="16" customFormat="1" ht="45" customHeight="1" x14ac:dyDescent="0.3">
      <c r="A21" s="3">
        <v>18</v>
      </c>
      <c r="B21" s="104" t="s">
        <v>145</v>
      </c>
      <c r="C21" s="74"/>
      <c r="D21" s="74" t="s">
        <v>127</v>
      </c>
      <c r="E21" s="75"/>
      <c r="F21" s="75"/>
      <c r="G21" s="75"/>
      <c r="H21" s="77"/>
      <c r="I21" s="100"/>
      <c r="J21" s="103"/>
      <c r="K21" s="77"/>
      <c r="L21" s="74"/>
      <c r="M21" s="78"/>
      <c r="N21" s="78"/>
      <c r="O21" s="102"/>
      <c r="P21" s="102"/>
      <c r="Q21" s="101"/>
      <c r="R21" s="101"/>
      <c r="S21" s="102"/>
      <c r="T21" s="102"/>
      <c r="U21" s="81" t="s">
        <v>62</v>
      </c>
    </row>
    <row r="22" spans="1:112" s="16" customFormat="1" ht="45" customHeight="1" x14ac:dyDescent="0.3">
      <c r="A22" s="3">
        <v>19</v>
      </c>
      <c r="B22" s="104" t="s">
        <v>146</v>
      </c>
      <c r="C22" s="74"/>
      <c r="D22" s="74" t="s">
        <v>128</v>
      </c>
      <c r="E22" s="75"/>
      <c r="F22" s="75"/>
      <c r="G22" s="75"/>
      <c r="H22" s="77"/>
      <c r="I22" s="100"/>
      <c r="J22" s="103"/>
      <c r="K22" s="77"/>
      <c r="L22" s="74"/>
      <c r="M22" s="78"/>
      <c r="N22" s="78"/>
      <c r="O22" s="102"/>
      <c r="P22" s="102"/>
      <c r="Q22" s="101"/>
      <c r="R22" s="101"/>
      <c r="S22" s="102"/>
      <c r="T22" s="102"/>
      <c r="U22" s="81" t="s">
        <v>860</v>
      </c>
    </row>
    <row r="23" spans="1:112" s="16" customFormat="1" ht="45" customHeight="1" x14ac:dyDescent="0.3">
      <c r="A23" s="3">
        <v>20</v>
      </c>
      <c r="B23" s="104" t="s">
        <v>147</v>
      </c>
      <c r="C23" s="74"/>
      <c r="D23" s="104" t="s">
        <v>148</v>
      </c>
      <c r="E23" s="75"/>
      <c r="F23" s="75"/>
      <c r="G23" s="75"/>
      <c r="H23" s="77"/>
      <c r="I23" s="100"/>
      <c r="J23" s="103"/>
      <c r="K23" s="77"/>
      <c r="L23" s="74"/>
      <c r="M23" s="78"/>
      <c r="N23" s="78"/>
      <c r="O23" s="102"/>
      <c r="P23" s="102"/>
      <c r="Q23" s="101"/>
      <c r="R23" s="101"/>
      <c r="S23" s="102"/>
      <c r="T23" s="102"/>
      <c r="U23" s="81" t="s">
        <v>860</v>
      </c>
    </row>
    <row r="24" spans="1:112" s="16" customFormat="1" ht="45" customHeight="1" x14ac:dyDescent="0.3">
      <c r="A24" s="3">
        <v>21</v>
      </c>
      <c r="B24" s="104" t="s">
        <v>149</v>
      </c>
      <c r="C24" s="74"/>
      <c r="D24" s="104" t="s">
        <v>150</v>
      </c>
      <c r="E24" s="75"/>
      <c r="F24" s="75"/>
      <c r="G24" s="75"/>
      <c r="H24" s="77"/>
      <c r="I24" s="100"/>
      <c r="J24" s="103"/>
      <c r="K24" s="77"/>
      <c r="L24" s="74"/>
      <c r="M24" s="78"/>
      <c r="N24" s="78"/>
      <c r="O24" s="102"/>
      <c r="P24" s="102"/>
      <c r="Q24" s="101"/>
      <c r="R24" s="101"/>
      <c r="S24" s="102"/>
      <c r="T24" s="102"/>
      <c r="U24" s="81" t="s">
        <v>828</v>
      </c>
    </row>
    <row r="25" spans="1:112" s="16" customFormat="1" ht="45" customHeight="1" x14ac:dyDescent="0.3">
      <c r="A25" s="62" t="s">
        <v>861</v>
      </c>
      <c r="B25" s="104" t="s">
        <v>862</v>
      </c>
      <c r="C25" s="74"/>
      <c r="D25" s="104" t="s">
        <v>863</v>
      </c>
      <c r="E25" s="75"/>
      <c r="F25" s="75"/>
      <c r="G25" s="75"/>
      <c r="H25" s="77"/>
      <c r="I25" s="100"/>
      <c r="J25" s="103"/>
      <c r="K25" s="77"/>
      <c r="L25" s="74"/>
      <c r="M25" s="78"/>
      <c r="N25" s="78"/>
      <c r="O25" s="102"/>
      <c r="P25" s="102"/>
      <c r="Q25" s="101"/>
      <c r="R25" s="101"/>
      <c r="S25" s="102"/>
      <c r="T25" s="102"/>
      <c r="U25" s="105" t="s">
        <v>943</v>
      </c>
    </row>
    <row r="26" spans="1:112" s="16" customFormat="1" ht="45" customHeight="1" x14ac:dyDescent="0.3">
      <c r="A26" s="3"/>
      <c r="B26" s="63"/>
      <c r="C26" s="2"/>
      <c r="D26" s="63"/>
      <c r="E26" s="64"/>
      <c r="F26" s="64"/>
      <c r="G26" s="64"/>
      <c r="H26" s="4"/>
      <c r="I26" s="65"/>
      <c r="J26" s="66"/>
      <c r="K26" s="4"/>
      <c r="L26" s="2"/>
      <c r="M26" s="67"/>
      <c r="N26" s="67"/>
      <c r="O26" s="68"/>
      <c r="P26" s="68"/>
      <c r="Q26" s="69"/>
      <c r="R26" s="69"/>
      <c r="S26" s="68"/>
      <c r="T26" s="68"/>
      <c r="U26" s="2"/>
    </row>
    <row r="27" spans="1:112" s="7" customFormat="1" ht="20.25" customHeight="1" x14ac:dyDescent="0.3">
      <c r="A27" s="3"/>
      <c r="G27" s="17"/>
      <c r="U27" s="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</row>
  </sheetData>
  <autoFilter ref="A3:DH25" xr:uid="{00000000-0009-0000-0000-000002000000}"/>
  <mergeCells count="17">
    <mergeCell ref="Q2:Q3"/>
    <mergeCell ref="R2:R3"/>
    <mergeCell ref="S2:S3"/>
    <mergeCell ref="T2:T3"/>
    <mergeCell ref="A1:U1"/>
    <mergeCell ref="A2:A3"/>
    <mergeCell ref="B2:B3"/>
    <mergeCell ref="C2:C3"/>
    <mergeCell ref="D2:D3"/>
    <mergeCell ref="E2:G2"/>
    <mergeCell ref="H2:J2"/>
    <mergeCell ref="K2:K3"/>
    <mergeCell ref="L2:L3"/>
    <mergeCell ref="M2:N2"/>
    <mergeCell ref="U2:U3"/>
    <mergeCell ref="O2:O3"/>
    <mergeCell ref="P2:P3"/>
  </mergeCells>
  <phoneticPr fontId="2" type="noConversion"/>
  <printOptions horizontalCentered="1"/>
  <pageMargins left="0.47244094488188981" right="0.47244094488188981" top="0.59055118110236227" bottom="0.31496062992125984" header="0" footer="0.23622047244094491"/>
  <pageSetup paperSize="9" scale="4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17"/>
  <sheetViews>
    <sheetView view="pageBreakPreview" zoomScale="85" zoomScaleNormal="11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5" sqref="D5"/>
    </sheetView>
  </sheetViews>
  <sheetFormatPr defaultRowHeight="13.5" x14ac:dyDescent="0.15"/>
  <cols>
    <col min="1" max="1" width="5.77734375" style="11" customWidth="1"/>
    <col min="2" max="2" width="15" style="11" customWidth="1"/>
    <col min="3" max="3" width="16.88671875" style="11" customWidth="1"/>
    <col min="4" max="4" width="16.6640625" style="11" customWidth="1"/>
    <col min="5" max="10" width="8.77734375" style="11" customWidth="1"/>
    <col min="11" max="11" width="10.109375" style="11" customWidth="1"/>
    <col min="12" max="12" width="11.21875" style="11" customWidth="1"/>
    <col min="13" max="17" width="8.77734375" style="11" customWidth="1"/>
    <col min="18" max="18" width="12.77734375" style="11" customWidth="1"/>
    <col min="19" max="16384" width="8.88671875" style="11"/>
  </cols>
  <sheetData>
    <row r="1" spans="1:18" ht="60.75" customHeight="1" thickBot="1" x14ac:dyDescent="0.2">
      <c r="A1" s="182" t="s">
        <v>70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 ht="30" customHeight="1" x14ac:dyDescent="0.15">
      <c r="A2" s="172" t="s">
        <v>0</v>
      </c>
      <c r="B2" s="167" t="s">
        <v>16</v>
      </c>
      <c r="C2" s="167" t="s">
        <v>22</v>
      </c>
      <c r="D2" s="167" t="s">
        <v>1</v>
      </c>
      <c r="E2" s="167" t="s">
        <v>2</v>
      </c>
      <c r="F2" s="167"/>
      <c r="G2" s="167"/>
      <c r="H2" s="174" t="s">
        <v>3</v>
      </c>
      <c r="I2" s="174"/>
      <c r="J2" s="174"/>
      <c r="K2" s="167" t="s">
        <v>42</v>
      </c>
      <c r="L2" s="174"/>
      <c r="M2" s="167" t="s">
        <v>63</v>
      </c>
      <c r="N2" s="174" t="s">
        <v>4</v>
      </c>
      <c r="O2" s="167" t="s">
        <v>5</v>
      </c>
      <c r="P2" s="167" t="s">
        <v>29</v>
      </c>
      <c r="Q2" s="167" t="s">
        <v>6</v>
      </c>
      <c r="R2" s="179" t="s">
        <v>18</v>
      </c>
    </row>
    <row r="3" spans="1:18" ht="30" customHeight="1" x14ac:dyDescent="0.15">
      <c r="A3" s="173"/>
      <c r="B3" s="168"/>
      <c r="C3" s="169"/>
      <c r="D3" s="168"/>
      <c r="E3" s="25" t="s">
        <v>7</v>
      </c>
      <c r="F3" s="25" t="s">
        <v>14</v>
      </c>
      <c r="G3" s="25" t="s">
        <v>8</v>
      </c>
      <c r="H3" s="25" t="s">
        <v>28</v>
      </c>
      <c r="I3" s="26" t="s">
        <v>10</v>
      </c>
      <c r="J3" s="26" t="s">
        <v>11</v>
      </c>
      <c r="K3" s="25" t="s">
        <v>12</v>
      </c>
      <c r="L3" s="26" t="s">
        <v>43</v>
      </c>
      <c r="M3" s="169"/>
      <c r="N3" s="168"/>
      <c r="O3" s="168"/>
      <c r="P3" s="169"/>
      <c r="Q3" s="169"/>
      <c r="R3" s="176"/>
    </row>
    <row r="4" spans="1:18" s="1" customFormat="1" ht="45" customHeight="1" x14ac:dyDescent="0.3">
      <c r="A4" s="73">
        <v>1</v>
      </c>
      <c r="B4" s="74" t="s">
        <v>398</v>
      </c>
      <c r="C4" s="74" t="s">
        <v>825</v>
      </c>
      <c r="D4" s="74" t="s">
        <v>824</v>
      </c>
      <c r="E4" s="76">
        <v>84</v>
      </c>
      <c r="F4" s="76">
        <v>84</v>
      </c>
      <c r="G4" s="76" t="s">
        <v>23</v>
      </c>
      <c r="H4" s="77" t="s">
        <v>35</v>
      </c>
      <c r="I4" s="77">
        <v>23.81</v>
      </c>
      <c r="J4" s="77">
        <v>248.88</v>
      </c>
      <c r="K4" s="106">
        <v>42975</v>
      </c>
      <c r="L4" s="78" t="s">
        <v>399</v>
      </c>
      <c r="M4" s="106">
        <v>43909</v>
      </c>
      <c r="N4" s="107">
        <v>44505</v>
      </c>
      <c r="O4" s="107">
        <v>45672</v>
      </c>
      <c r="P4" s="108">
        <v>45625</v>
      </c>
      <c r="Q4" s="80"/>
      <c r="R4" s="81" t="s">
        <v>400</v>
      </c>
    </row>
    <row r="5" spans="1:18" s="1" customFormat="1" ht="45" customHeight="1" x14ac:dyDescent="0.3">
      <c r="A5" s="73">
        <v>2</v>
      </c>
      <c r="B5" s="74" t="s">
        <v>401</v>
      </c>
      <c r="C5" s="74" t="s">
        <v>823</v>
      </c>
      <c r="D5" s="74" t="s">
        <v>822</v>
      </c>
      <c r="E5" s="76">
        <v>65</v>
      </c>
      <c r="F5" s="76">
        <v>65</v>
      </c>
      <c r="G5" s="76">
        <v>0</v>
      </c>
      <c r="H5" s="77" t="s">
        <v>35</v>
      </c>
      <c r="I5" s="77">
        <v>32.86</v>
      </c>
      <c r="J5" s="77">
        <v>249.87</v>
      </c>
      <c r="K5" s="106">
        <v>42971</v>
      </c>
      <c r="L5" s="78" t="s">
        <v>402</v>
      </c>
      <c r="M5" s="106">
        <v>43966</v>
      </c>
      <c r="N5" s="107">
        <v>44176</v>
      </c>
      <c r="O5" s="79"/>
      <c r="P5" s="108">
        <v>45105</v>
      </c>
      <c r="Q5" s="80"/>
      <c r="R5" s="81" t="s">
        <v>400</v>
      </c>
    </row>
    <row r="6" spans="1:18" s="1" customFormat="1" ht="45" customHeight="1" x14ac:dyDescent="0.3">
      <c r="A6" s="73">
        <v>3</v>
      </c>
      <c r="B6" s="74" t="s">
        <v>403</v>
      </c>
      <c r="C6" s="74" t="s">
        <v>821</v>
      </c>
      <c r="D6" s="74" t="s">
        <v>404</v>
      </c>
      <c r="E6" s="76">
        <v>99</v>
      </c>
      <c r="F6" s="76">
        <v>99</v>
      </c>
      <c r="G6" s="76" t="s">
        <v>23</v>
      </c>
      <c r="H6" s="77" t="s">
        <v>405</v>
      </c>
      <c r="I6" s="77">
        <v>35.380000000000003</v>
      </c>
      <c r="J6" s="77">
        <v>249.73</v>
      </c>
      <c r="K6" s="106">
        <v>42984</v>
      </c>
      <c r="L6" s="78" t="s">
        <v>406</v>
      </c>
      <c r="M6" s="106">
        <v>44048</v>
      </c>
      <c r="N6" s="107">
        <v>44643</v>
      </c>
      <c r="O6" s="107">
        <v>45020</v>
      </c>
      <c r="P6" s="108">
        <v>45523</v>
      </c>
      <c r="Q6" s="80"/>
      <c r="R6" s="81" t="s">
        <v>400</v>
      </c>
    </row>
    <row r="7" spans="1:18" s="1" customFormat="1" ht="45" customHeight="1" x14ac:dyDescent="0.3">
      <c r="A7" s="73">
        <v>4</v>
      </c>
      <c r="B7" s="74" t="s">
        <v>407</v>
      </c>
      <c r="C7" s="74" t="s">
        <v>820</v>
      </c>
      <c r="D7" s="74" t="s">
        <v>819</v>
      </c>
      <c r="E7" s="76">
        <v>137</v>
      </c>
      <c r="F7" s="76">
        <v>109</v>
      </c>
      <c r="G7" s="76">
        <v>28</v>
      </c>
      <c r="H7" s="109" t="s">
        <v>627</v>
      </c>
      <c r="I7" s="77">
        <v>38.49</v>
      </c>
      <c r="J7" s="77">
        <v>241.07</v>
      </c>
      <c r="K7" s="106">
        <v>43167</v>
      </c>
      <c r="L7" s="78" t="s">
        <v>409</v>
      </c>
      <c r="M7" s="106">
        <v>44042</v>
      </c>
      <c r="N7" s="110">
        <v>44166</v>
      </c>
      <c r="O7" s="110">
        <v>44379</v>
      </c>
      <c r="P7" s="106">
        <v>44855</v>
      </c>
      <c r="Q7" s="106">
        <v>45288</v>
      </c>
      <c r="R7" s="81" t="s">
        <v>818</v>
      </c>
    </row>
    <row r="8" spans="1:18" s="1" customFormat="1" ht="45" customHeight="1" x14ac:dyDescent="0.3">
      <c r="A8" s="73">
        <v>5</v>
      </c>
      <c r="B8" s="74" t="s">
        <v>410</v>
      </c>
      <c r="C8" s="74" t="s">
        <v>817</v>
      </c>
      <c r="D8" s="74" t="s">
        <v>816</v>
      </c>
      <c r="E8" s="76">
        <v>63</v>
      </c>
      <c r="F8" s="76">
        <v>63</v>
      </c>
      <c r="G8" s="76" t="s">
        <v>23</v>
      </c>
      <c r="H8" s="109" t="s">
        <v>35</v>
      </c>
      <c r="I8" s="77">
        <v>37.979999999999997</v>
      </c>
      <c r="J8" s="77">
        <v>249.51</v>
      </c>
      <c r="K8" s="110">
        <v>43244</v>
      </c>
      <c r="L8" s="78" t="s">
        <v>411</v>
      </c>
      <c r="M8" s="106">
        <v>43942</v>
      </c>
      <c r="N8" s="110">
        <v>44196</v>
      </c>
      <c r="O8" s="78"/>
      <c r="P8" s="106">
        <v>45005</v>
      </c>
      <c r="Q8" s="74"/>
      <c r="R8" s="81" t="s">
        <v>400</v>
      </c>
    </row>
    <row r="9" spans="1:18" s="1" customFormat="1" ht="45" customHeight="1" x14ac:dyDescent="0.3">
      <c r="A9" s="73">
        <v>6</v>
      </c>
      <c r="B9" s="74" t="s">
        <v>412</v>
      </c>
      <c r="C9" s="74" t="s">
        <v>815</v>
      </c>
      <c r="D9" s="74" t="s">
        <v>814</v>
      </c>
      <c r="E9" s="76">
        <v>50</v>
      </c>
      <c r="F9" s="76">
        <v>50</v>
      </c>
      <c r="G9" s="76" t="s">
        <v>23</v>
      </c>
      <c r="H9" s="109" t="s">
        <v>35</v>
      </c>
      <c r="I9" s="77">
        <v>43.87</v>
      </c>
      <c r="J9" s="77">
        <v>229.98</v>
      </c>
      <c r="K9" s="106">
        <v>43262</v>
      </c>
      <c r="L9" s="78" t="s">
        <v>413</v>
      </c>
      <c r="M9" s="106">
        <v>43689</v>
      </c>
      <c r="N9" s="110">
        <v>44006</v>
      </c>
      <c r="O9" s="74"/>
      <c r="P9" s="106">
        <v>44470</v>
      </c>
      <c r="Q9" s="74"/>
      <c r="R9" s="81" t="s">
        <v>400</v>
      </c>
    </row>
    <row r="10" spans="1:18" s="1" customFormat="1" ht="45" customHeight="1" x14ac:dyDescent="0.3">
      <c r="A10" s="73">
        <v>7</v>
      </c>
      <c r="B10" s="74" t="s">
        <v>414</v>
      </c>
      <c r="C10" s="74" t="s">
        <v>813</v>
      </c>
      <c r="D10" s="74" t="s">
        <v>812</v>
      </c>
      <c r="E10" s="76">
        <v>81</v>
      </c>
      <c r="F10" s="76">
        <v>81</v>
      </c>
      <c r="G10" s="76" t="s">
        <v>23</v>
      </c>
      <c r="H10" s="77" t="s">
        <v>35</v>
      </c>
      <c r="I10" s="77">
        <v>33.729999999999997</v>
      </c>
      <c r="J10" s="77">
        <v>249.85</v>
      </c>
      <c r="K10" s="106">
        <v>43403</v>
      </c>
      <c r="L10" s="78" t="s">
        <v>36</v>
      </c>
      <c r="M10" s="106">
        <v>44305</v>
      </c>
      <c r="N10" s="110">
        <v>44526</v>
      </c>
      <c r="O10" s="78"/>
      <c r="P10" s="106">
        <v>45378</v>
      </c>
      <c r="Q10" s="74"/>
      <c r="R10" s="81" t="s">
        <v>400</v>
      </c>
    </row>
    <row r="11" spans="1:18" s="1" customFormat="1" ht="45" customHeight="1" x14ac:dyDescent="0.3">
      <c r="A11" s="73">
        <v>8</v>
      </c>
      <c r="B11" s="74" t="s">
        <v>415</v>
      </c>
      <c r="C11" s="74" t="s">
        <v>811</v>
      </c>
      <c r="D11" s="74" t="s">
        <v>810</v>
      </c>
      <c r="E11" s="76">
        <v>142</v>
      </c>
      <c r="F11" s="76">
        <v>113</v>
      </c>
      <c r="G11" s="76">
        <v>29</v>
      </c>
      <c r="H11" s="77" t="s">
        <v>408</v>
      </c>
      <c r="I11" s="77">
        <v>33.08</v>
      </c>
      <c r="J11" s="77">
        <v>249.96</v>
      </c>
      <c r="K11" s="106">
        <v>43405</v>
      </c>
      <c r="L11" s="78" t="s">
        <v>809</v>
      </c>
      <c r="M11" s="106">
        <v>44438</v>
      </c>
      <c r="N11" s="110">
        <v>44579</v>
      </c>
      <c r="O11" s="110">
        <v>44895</v>
      </c>
      <c r="P11" s="106">
        <v>45289</v>
      </c>
      <c r="Q11" s="74"/>
      <c r="R11" s="81" t="s">
        <v>400</v>
      </c>
    </row>
    <row r="12" spans="1:18" s="1" customFormat="1" ht="45" customHeight="1" x14ac:dyDescent="0.3">
      <c r="A12" s="73">
        <v>9</v>
      </c>
      <c r="B12" s="74" t="s">
        <v>416</v>
      </c>
      <c r="C12" s="74" t="s">
        <v>808</v>
      </c>
      <c r="D12" s="74" t="s">
        <v>807</v>
      </c>
      <c r="E12" s="76">
        <v>54</v>
      </c>
      <c r="F12" s="76">
        <v>54</v>
      </c>
      <c r="G12" s="76" t="s">
        <v>23</v>
      </c>
      <c r="H12" s="77" t="s">
        <v>666</v>
      </c>
      <c r="I12" s="77">
        <v>51.1</v>
      </c>
      <c r="J12" s="77">
        <v>229.65</v>
      </c>
      <c r="K12" s="106">
        <v>43468</v>
      </c>
      <c r="L12" s="78" t="s">
        <v>417</v>
      </c>
      <c r="M12" s="106">
        <v>44035</v>
      </c>
      <c r="N12" s="110">
        <v>44214</v>
      </c>
      <c r="O12" s="78"/>
      <c r="P12" s="106">
        <v>44651</v>
      </c>
      <c r="Q12" s="74"/>
      <c r="R12" s="81" t="s">
        <v>400</v>
      </c>
    </row>
    <row r="13" spans="1:18" s="1" customFormat="1" ht="45" customHeight="1" x14ac:dyDescent="0.3">
      <c r="A13" s="73">
        <v>10</v>
      </c>
      <c r="B13" s="74" t="s">
        <v>418</v>
      </c>
      <c r="C13" s="74" t="s">
        <v>806</v>
      </c>
      <c r="D13" s="74" t="s">
        <v>805</v>
      </c>
      <c r="E13" s="76">
        <v>50</v>
      </c>
      <c r="F13" s="76">
        <v>50</v>
      </c>
      <c r="G13" s="76" t="s">
        <v>23</v>
      </c>
      <c r="H13" s="77" t="s">
        <v>35</v>
      </c>
      <c r="I13" s="77">
        <v>30.18</v>
      </c>
      <c r="J13" s="77">
        <v>249.97</v>
      </c>
      <c r="K13" s="106">
        <v>43544</v>
      </c>
      <c r="L13" s="78" t="s">
        <v>41</v>
      </c>
      <c r="M13" s="106">
        <v>44466</v>
      </c>
      <c r="N13" s="110">
        <v>44617</v>
      </c>
      <c r="O13" s="78"/>
      <c r="P13" s="106">
        <v>45250</v>
      </c>
      <c r="Q13" s="74"/>
      <c r="R13" s="81" t="s">
        <v>400</v>
      </c>
    </row>
    <row r="14" spans="1:18" s="1" customFormat="1" ht="45" customHeight="1" x14ac:dyDescent="0.3">
      <c r="A14" s="73">
        <v>11</v>
      </c>
      <c r="B14" s="74" t="s">
        <v>419</v>
      </c>
      <c r="C14" s="74" t="s">
        <v>420</v>
      </c>
      <c r="D14" s="74" t="s">
        <v>804</v>
      </c>
      <c r="E14" s="76">
        <v>108</v>
      </c>
      <c r="F14" s="76">
        <v>108</v>
      </c>
      <c r="G14" s="76" t="s">
        <v>23</v>
      </c>
      <c r="H14" s="77" t="s">
        <v>35</v>
      </c>
      <c r="I14" s="77">
        <v>30.04</v>
      </c>
      <c r="J14" s="77">
        <v>249</v>
      </c>
      <c r="K14" s="106">
        <v>43570</v>
      </c>
      <c r="L14" s="74" t="s">
        <v>421</v>
      </c>
      <c r="M14" s="106">
        <v>44181</v>
      </c>
      <c r="N14" s="110">
        <v>44536</v>
      </c>
      <c r="O14" s="74"/>
      <c r="P14" s="106">
        <v>45320</v>
      </c>
      <c r="Q14" s="74"/>
      <c r="R14" s="81" t="s">
        <v>400</v>
      </c>
    </row>
    <row r="15" spans="1:18" s="1" customFormat="1" ht="45" customHeight="1" x14ac:dyDescent="0.3">
      <c r="A15" s="73">
        <v>12</v>
      </c>
      <c r="B15" s="74" t="s">
        <v>422</v>
      </c>
      <c r="C15" s="74" t="s">
        <v>803</v>
      </c>
      <c r="D15" s="74" t="s">
        <v>802</v>
      </c>
      <c r="E15" s="76">
        <v>100</v>
      </c>
      <c r="F15" s="76">
        <v>100</v>
      </c>
      <c r="G15" s="76" t="s">
        <v>23</v>
      </c>
      <c r="H15" s="77" t="s">
        <v>405</v>
      </c>
      <c r="I15" s="77">
        <v>36.619999999999997</v>
      </c>
      <c r="J15" s="77">
        <v>249.92</v>
      </c>
      <c r="K15" s="106">
        <v>43735</v>
      </c>
      <c r="L15" s="78" t="s">
        <v>423</v>
      </c>
      <c r="M15" s="106">
        <v>44491</v>
      </c>
      <c r="N15" s="110">
        <v>44857</v>
      </c>
      <c r="O15" s="78"/>
      <c r="P15" s="106">
        <v>45560</v>
      </c>
      <c r="Q15" s="74"/>
      <c r="R15" s="81" t="s">
        <v>400</v>
      </c>
    </row>
    <row r="16" spans="1:18" s="70" customFormat="1" ht="45" customHeight="1" x14ac:dyDescent="0.3">
      <c r="A16" s="73">
        <v>13</v>
      </c>
      <c r="B16" s="74" t="s">
        <v>424</v>
      </c>
      <c r="C16" s="74" t="s">
        <v>425</v>
      </c>
      <c r="D16" s="74" t="s">
        <v>801</v>
      </c>
      <c r="E16" s="76">
        <v>90</v>
      </c>
      <c r="F16" s="76">
        <v>90</v>
      </c>
      <c r="G16" s="76" t="s">
        <v>23</v>
      </c>
      <c r="H16" s="77" t="s">
        <v>627</v>
      </c>
      <c r="I16" s="77">
        <v>28.9</v>
      </c>
      <c r="J16" s="77">
        <v>249.12</v>
      </c>
      <c r="K16" s="106">
        <v>43760</v>
      </c>
      <c r="L16" s="78" t="s">
        <v>426</v>
      </c>
      <c r="M16" s="106">
        <v>44690</v>
      </c>
      <c r="N16" s="110">
        <v>45582</v>
      </c>
      <c r="O16" s="78"/>
      <c r="P16" s="74"/>
      <c r="Q16" s="74"/>
      <c r="R16" s="81" t="s">
        <v>169</v>
      </c>
    </row>
    <row r="17" spans="1:18" s="1" customFormat="1" ht="45" customHeight="1" x14ac:dyDescent="0.3">
      <c r="A17" s="73">
        <v>14</v>
      </c>
      <c r="B17" s="74" t="s">
        <v>427</v>
      </c>
      <c r="C17" s="74" t="s">
        <v>800</v>
      </c>
      <c r="D17" s="74" t="s">
        <v>799</v>
      </c>
      <c r="E17" s="76">
        <v>108</v>
      </c>
      <c r="F17" s="76">
        <v>108</v>
      </c>
      <c r="G17" s="76" t="s">
        <v>23</v>
      </c>
      <c r="H17" s="77" t="s">
        <v>35</v>
      </c>
      <c r="I17" s="77">
        <v>43.23</v>
      </c>
      <c r="J17" s="77">
        <v>249.17</v>
      </c>
      <c r="K17" s="106">
        <v>43767</v>
      </c>
      <c r="L17" s="78" t="s">
        <v>428</v>
      </c>
      <c r="M17" s="106">
        <v>44676</v>
      </c>
      <c r="N17" s="110">
        <v>45456</v>
      </c>
      <c r="O17" s="78"/>
      <c r="P17" s="74"/>
      <c r="Q17" s="74"/>
      <c r="R17" s="81" t="s">
        <v>169</v>
      </c>
    </row>
    <row r="18" spans="1:18" s="1" customFormat="1" ht="45" customHeight="1" x14ac:dyDescent="0.3">
      <c r="A18" s="73">
        <v>15</v>
      </c>
      <c r="B18" s="74" t="s">
        <v>429</v>
      </c>
      <c r="C18" s="74" t="s">
        <v>430</v>
      </c>
      <c r="D18" s="74" t="s">
        <v>798</v>
      </c>
      <c r="E18" s="76">
        <v>82</v>
      </c>
      <c r="F18" s="76">
        <v>82</v>
      </c>
      <c r="G18" s="76" t="s">
        <v>23</v>
      </c>
      <c r="H18" s="77" t="s">
        <v>35</v>
      </c>
      <c r="I18" s="77">
        <v>29.24</v>
      </c>
      <c r="J18" s="77">
        <v>249.34</v>
      </c>
      <c r="K18" s="106">
        <v>43773</v>
      </c>
      <c r="L18" s="78" t="s">
        <v>431</v>
      </c>
      <c r="M18" s="106">
        <v>44630</v>
      </c>
      <c r="N18" s="110">
        <v>45503</v>
      </c>
      <c r="O18" s="78"/>
      <c r="P18" s="74"/>
      <c r="Q18" s="74"/>
      <c r="R18" s="81" t="s">
        <v>169</v>
      </c>
    </row>
    <row r="19" spans="1:18" s="70" customFormat="1" ht="45" customHeight="1" x14ac:dyDescent="0.3">
      <c r="A19" s="73">
        <v>16</v>
      </c>
      <c r="B19" s="74" t="s">
        <v>432</v>
      </c>
      <c r="C19" s="74" t="s">
        <v>797</v>
      </c>
      <c r="D19" s="74" t="s">
        <v>796</v>
      </c>
      <c r="E19" s="76">
        <v>207</v>
      </c>
      <c r="F19" s="76">
        <v>207</v>
      </c>
      <c r="G19" s="76" t="s">
        <v>23</v>
      </c>
      <c r="H19" s="77" t="s">
        <v>433</v>
      </c>
      <c r="I19" s="77">
        <v>32.630000000000003</v>
      </c>
      <c r="J19" s="77">
        <v>249.78</v>
      </c>
      <c r="K19" s="106">
        <v>43774</v>
      </c>
      <c r="L19" s="78" t="s">
        <v>434</v>
      </c>
      <c r="M19" s="106">
        <v>45027</v>
      </c>
      <c r="N19" s="110">
        <v>45813</v>
      </c>
      <c r="O19" s="106">
        <v>45975</v>
      </c>
      <c r="P19" s="74"/>
      <c r="Q19" s="74"/>
      <c r="R19" s="81" t="s">
        <v>4</v>
      </c>
    </row>
    <row r="20" spans="1:18" s="1" customFormat="1" ht="45" customHeight="1" x14ac:dyDescent="0.3">
      <c r="A20" s="73">
        <v>17</v>
      </c>
      <c r="B20" s="74" t="s">
        <v>435</v>
      </c>
      <c r="C20" s="74" t="s">
        <v>436</v>
      </c>
      <c r="D20" s="74" t="s">
        <v>795</v>
      </c>
      <c r="E20" s="76">
        <v>74</v>
      </c>
      <c r="F20" s="76">
        <v>74</v>
      </c>
      <c r="G20" s="76" t="s">
        <v>23</v>
      </c>
      <c r="H20" s="77" t="s">
        <v>35</v>
      </c>
      <c r="I20" s="77">
        <v>30.9</v>
      </c>
      <c r="J20" s="77">
        <v>249.95</v>
      </c>
      <c r="K20" s="106">
        <v>43781</v>
      </c>
      <c r="L20" s="78" t="s">
        <v>437</v>
      </c>
      <c r="M20" s="106">
        <v>45614</v>
      </c>
      <c r="N20" s="78"/>
      <c r="O20" s="78"/>
      <c r="P20" s="74"/>
      <c r="Q20" s="74"/>
      <c r="R20" s="81" t="s">
        <v>386</v>
      </c>
    </row>
    <row r="21" spans="1:18" s="70" customFormat="1" ht="45" customHeight="1" x14ac:dyDescent="0.3">
      <c r="A21" s="73">
        <v>18</v>
      </c>
      <c r="B21" s="74" t="s">
        <v>438</v>
      </c>
      <c r="C21" s="74" t="s">
        <v>794</v>
      </c>
      <c r="D21" s="74" t="s">
        <v>793</v>
      </c>
      <c r="E21" s="76">
        <v>168</v>
      </c>
      <c r="F21" s="76">
        <v>168</v>
      </c>
      <c r="G21" s="76" t="s">
        <v>23</v>
      </c>
      <c r="H21" s="77" t="s">
        <v>720</v>
      </c>
      <c r="I21" s="77">
        <v>37.68</v>
      </c>
      <c r="J21" s="77">
        <v>249.93</v>
      </c>
      <c r="K21" s="106">
        <v>43781</v>
      </c>
      <c r="L21" s="78" t="s">
        <v>439</v>
      </c>
      <c r="M21" s="106">
        <v>44553</v>
      </c>
      <c r="N21" s="110">
        <v>45110</v>
      </c>
      <c r="O21" s="78"/>
      <c r="P21" s="106">
        <v>45981</v>
      </c>
      <c r="Q21" s="74"/>
      <c r="R21" s="81" t="s">
        <v>68</v>
      </c>
    </row>
    <row r="22" spans="1:18" s="1" customFormat="1" ht="45" customHeight="1" x14ac:dyDescent="0.3">
      <c r="A22" s="73">
        <v>19</v>
      </c>
      <c r="B22" s="74" t="s">
        <v>440</v>
      </c>
      <c r="C22" s="74" t="s">
        <v>792</v>
      </c>
      <c r="D22" s="74" t="s">
        <v>791</v>
      </c>
      <c r="E22" s="76">
        <v>197</v>
      </c>
      <c r="F22" s="76">
        <v>197</v>
      </c>
      <c r="G22" s="76" t="s">
        <v>23</v>
      </c>
      <c r="H22" s="77" t="s">
        <v>627</v>
      </c>
      <c r="I22" s="77">
        <v>34.42</v>
      </c>
      <c r="J22" s="77">
        <v>249.42</v>
      </c>
      <c r="K22" s="106">
        <v>43787</v>
      </c>
      <c r="L22" s="78" t="s">
        <v>441</v>
      </c>
      <c r="M22" s="106">
        <v>45027</v>
      </c>
      <c r="N22" s="78"/>
      <c r="O22" s="78"/>
      <c r="P22" s="74"/>
      <c r="Q22" s="74"/>
      <c r="R22" s="81" t="s">
        <v>386</v>
      </c>
    </row>
    <row r="23" spans="1:18" s="1" customFormat="1" ht="45" customHeight="1" x14ac:dyDescent="0.3">
      <c r="A23" s="73">
        <v>20</v>
      </c>
      <c r="B23" s="74" t="s">
        <v>442</v>
      </c>
      <c r="C23" s="74" t="s">
        <v>790</v>
      </c>
      <c r="D23" s="74" t="s">
        <v>789</v>
      </c>
      <c r="E23" s="76">
        <v>99</v>
      </c>
      <c r="F23" s="76">
        <v>99</v>
      </c>
      <c r="G23" s="76" t="s">
        <v>23</v>
      </c>
      <c r="H23" s="77" t="s">
        <v>35</v>
      </c>
      <c r="I23" s="77">
        <v>30.47</v>
      </c>
      <c r="J23" s="77">
        <v>249.94</v>
      </c>
      <c r="K23" s="106">
        <v>43794</v>
      </c>
      <c r="L23" s="74" t="s">
        <v>421</v>
      </c>
      <c r="M23" s="106">
        <v>44349</v>
      </c>
      <c r="N23" s="78"/>
      <c r="O23" s="78"/>
      <c r="P23" s="74"/>
      <c r="Q23" s="74"/>
      <c r="R23" s="81" t="s">
        <v>386</v>
      </c>
    </row>
    <row r="24" spans="1:18" s="1" customFormat="1" ht="45" customHeight="1" x14ac:dyDescent="0.3">
      <c r="A24" s="73">
        <v>21</v>
      </c>
      <c r="B24" s="74" t="s">
        <v>443</v>
      </c>
      <c r="C24" s="74" t="s">
        <v>444</v>
      </c>
      <c r="D24" s="74" t="s">
        <v>788</v>
      </c>
      <c r="E24" s="76">
        <v>72</v>
      </c>
      <c r="F24" s="76">
        <v>72</v>
      </c>
      <c r="G24" s="76" t="s">
        <v>23</v>
      </c>
      <c r="H24" s="77" t="s">
        <v>35</v>
      </c>
      <c r="I24" s="77">
        <v>36.19</v>
      </c>
      <c r="J24" s="77">
        <v>248.69</v>
      </c>
      <c r="K24" s="106">
        <v>43795</v>
      </c>
      <c r="L24" s="78" t="s">
        <v>445</v>
      </c>
      <c r="M24" s="106">
        <v>44673</v>
      </c>
      <c r="N24" s="110">
        <v>45504</v>
      </c>
      <c r="O24" s="78"/>
      <c r="P24" s="74"/>
      <c r="Q24" s="74"/>
      <c r="R24" s="81" t="s">
        <v>169</v>
      </c>
    </row>
    <row r="25" spans="1:18" s="1" customFormat="1" ht="45" customHeight="1" x14ac:dyDescent="0.3">
      <c r="A25" s="73">
        <v>22</v>
      </c>
      <c r="B25" s="74" t="s">
        <v>446</v>
      </c>
      <c r="C25" s="74" t="s">
        <v>447</v>
      </c>
      <c r="D25" s="74" t="s">
        <v>787</v>
      </c>
      <c r="E25" s="76">
        <v>48</v>
      </c>
      <c r="F25" s="76">
        <v>48</v>
      </c>
      <c r="G25" s="76" t="s">
        <v>23</v>
      </c>
      <c r="H25" s="77" t="s">
        <v>35</v>
      </c>
      <c r="I25" s="77">
        <v>48.69</v>
      </c>
      <c r="J25" s="77">
        <v>249</v>
      </c>
      <c r="K25" s="106">
        <v>43798</v>
      </c>
      <c r="L25" s="78" t="s">
        <v>448</v>
      </c>
      <c r="M25" s="106">
        <v>44546</v>
      </c>
      <c r="N25" s="110">
        <v>45600</v>
      </c>
      <c r="O25" s="78"/>
      <c r="P25" s="74"/>
      <c r="Q25" s="74"/>
      <c r="R25" s="81" t="s">
        <v>169</v>
      </c>
    </row>
    <row r="26" spans="1:18" s="1" customFormat="1" ht="45" customHeight="1" x14ac:dyDescent="0.3">
      <c r="A26" s="73">
        <v>23</v>
      </c>
      <c r="B26" s="74" t="s">
        <v>449</v>
      </c>
      <c r="C26" s="74" t="s">
        <v>786</v>
      </c>
      <c r="D26" s="74" t="s">
        <v>785</v>
      </c>
      <c r="E26" s="76">
        <v>164</v>
      </c>
      <c r="F26" s="76">
        <v>164</v>
      </c>
      <c r="G26" s="76" t="s">
        <v>23</v>
      </c>
      <c r="H26" s="77" t="s">
        <v>405</v>
      </c>
      <c r="I26" s="77">
        <v>42.68</v>
      </c>
      <c r="J26" s="77">
        <v>249.51</v>
      </c>
      <c r="K26" s="106">
        <v>43798</v>
      </c>
      <c r="L26" s="78" t="s">
        <v>450</v>
      </c>
      <c r="M26" s="106">
        <v>44805</v>
      </c>
      <c r="N26" s="110">
        <v>45425</v>
      </c>
      <c r="O26" s="78"/>
      <c r="P26" s="74"/>
      <c r="Q26" s="74"/>
      <c r="R26" s="81" t="s">
        <v>169</v>
      </c>
    </row>
    <row r="27" spans="1:18" s="1" customFormat="1" ht="45" customHeight="1" x14ac:dyDescent="0.3">
      <c r="A27" s="73">
        <v>24</v>
      </c>
      <c r="B27" s="74" t="s">
        <v>451</v>
      </c>
      <c r="C27" s="74" t="s">
        <v>784</v>
      </c>
      <c r="D27" s="74" t="s">
        <v>452</v>
      </c>
      <c r="E27" s="76">
        <v>110</v>
      </c>
      <c r="F27" s="76">
        <v>110</v>
      </c>
      <c r="G27" s="76" t="s">
        <v>23</v>
      </c>
      <c r="H27" s="77" t="s">
        <v>405</v>
      </c>
      <c r="I27" s="77">
        <v>46.15</v>
      </c>
      <c r="J27" s="77">
        <v>249.95</v>
      </c>
      <c r="K27" s="106">
        <v>43804</v>
      </c>
      <c r="L27" s="78" t="s">
        <v>453</v>
      </c>
      <c r="M27" s="106">
        <v>44151</v>
      </c>
      <c r="N27" s="110">
        <v>44265</v>
      </c>
      <c r="O27" s="78" t="s">
        <v>783</v>
      </c>
      <c r="P27" s="106">
        <v>44862</v>
      </c>
      <c r="Q27" s="74"/>
      <c r="R27" s="81" t="s">
        <v>400</v>
      </c>
    </row>
    <row r="28" spans="1:18" s="70" customFormat="1" ht="45" customHeight="1" x14ac:dyDescent="0.3">
      <c r="A28" s="73">
        <v>25</v>
      </c>
      <c r="B28" s="74" t="s">
        <v>454</v>
      </c>
      <c r="C28" s="74" t="s">
        <v>455</v>
      </c>
      <c r="D28" s="74" t="s">
        <v>782</v>
      </c>
      <c r="E28" s="76">
        <v>231</v>
      </c>
      <c r="F28" s="76">
        <v>231</v>
      </c>
      <c r="G28" s="76" t="s">
        <v>23</v>
      </c>
      <c r="H28" s="77" t="s">
        <v>456</v>
      </c>
      <c r="I28" s="77">
        <v>37.08</v>
      </c>
      <c r="J28" s="77">
        <v>248.83</v>
      </c>
      <c r="K28" s="106">
        <v>43826</v>
      </c>
      <c r="L28" s="78" t="s">
        <v>67</v>
      </c>
      <c r="M28" s="106">
        <v>44839</v>
      </c>
      <c r="N28" s="110">
        <v>45484</v>
      </c>
      <c r="O28" s="78"/>
      <c r="P28" s="74"/>
      <c r="Q28" s="74"/>
      <c r="R28" s="81" t="s">
        <v>169</v>
      </c>
    </row>
    <row r="29" spans="1:18" s="1" customFormat="1" ht="45" customHeight="1" x14ac:dyDescent="0.3">
      <c r="A29" s="73">
        <v>26</v>
      </c>
      <c r="B29" s="74" t="s">
        <v>457</v>
      </c>
      <c r="C29" s="74" t="s">
        <v>781</v>
      </c>
      <c r="D29" s="74" t="s">
        <v>780</v>
      </c>
      <c r="E29" s="76">
        <v>62</v>
      </c>
      <c r="F29" s="76">
        <v>62</v>
      </c>
      <c r="G29" s="76" t="s">
        <v>23</v>
      </c>
      <c r="H29" s="77" t="s">
        <v>35</v>
      </c>
      <c r="I29" s="77">
        <v>37.46</v>
      </c>
      <c r="J29" s="77">
        <v>229.83</v>
      </c>
      <c r="K29" s="106">
        <v>43833</v>
      </c>
      <c r="L29" s="78" t="s">
        <v>458</v>
      </c>
      <c r="M29" s="74"/>
      <c r="N29" s="78"/>
      <c r="O29" s="78"/>
      <c r="P29" s="74"/>
      <c r="Q29" s="74"/>
      <c r="R29" s="81" t="s">
        <v>32</v>
      </c>
    </row>
    <row r="30" spans="1:18" s="70" customFormat="1" ht="45" customHeight="1" x14ac:dyDescent="0.3">
      <c r="A30" s="73">
        <v>27</v>
      </c>
      <c r="B30" s="74" t="s">
        <v>459</v>
      </c>
      <c r="C30" s="74" t="s">
        <v>779</v>
      </c>
      <c r="D30" s="74" t="s">
        <v>778</v>
      </c>
      <c r="E30" s="76">
        <v>65</v>
      </c>
      <c r="F30" s="76">
        <v>65</v>
      </c>
      <c r="G30" s="76" t="s">
        <v>23</v>
      </c>
      <c r="H30" s="77" t="s">
        <v>35</v>
      </c>
      <c r="I30" s="77">
        <v>35.33</v>
      </c>
      <c r="J30" s="77">
        <v>223.2</v>
      </c>
      <c r="K30" s="106">
        <v>43846</v>
      </c>
      <c r="L30" s="78" t="s">
        <v>460</v>
      </c>
      <c r="M30" s="106">
        <v>45959</v>
      </c>
      <c r="N30" s="78"/>
      <c r="O30" s="78"/>
      <c r="P30" s="74"/>
      <c r="Q30" s="74"/>
      <c r="R30" s="81" t="s">
        <v>386</v>
      </c>
    </row>
    <row r="31" spans="1:18" s="70" customFormat="1" ht="45" customHeight="1" x14ac:dyDescent="0.3">
      <c r="A31" s="73">
        <v>28</v>
      </c>
      <c r="B31" s="74" t="s">
        <v>461</v>
      </c>
      <c r="C31" s="74" t="s">
        <v>867</v>
      </c>
      <c r="D31" s="74" t="s">
        <v>777</v>
      </c>
      <c r="E31" s="76">
        <v>200</v>
      </c>
      <c r="F31" s="76">
        <v>200</v>
      </c>
      <c r="G31" s="76" t="s">
        <v>23</v>
      </c>
      <c r="H31" s="77" t="s">
        <v>408</v>
      </c>
      <c r="I31" s="77">
        <v>26.72</v>
      </c>
      <c r="J31" s="77">
        <v>249.99</v>
      </c>
      <c r="K31" s="106">
        <v>43853</v>
      </c>
      <c r="L31" s="78" t="s">
        <v>69</v>
      </c>
      <c r="M31" s="106">
        <v>44869</v>
      </c>
      <c r="N31" s="110">
        <v>45652</v>
      </c>
      <c r="O31" s="110">
        <v>45897</v>
      </c>
      <c r="P31" s="74"/>
      <c r="Q31" s="74"/>
      <c r="R31" s="81" t="s">
        <v>169</v>
      </c>
    </row>
    <row r="32" spans="1:18" s="1" customFormat="1" ht="45" customHeight="1" x14ac:dyDescent="0.3">
      <c r="A32" s="73">
        <v>29</v>
      </c>
      <c r="B32" s="74" t="s">
        <v>462</v>
      </c>
      <c r="C32" s="74" t="s">
        <v>776</v>
      </c>
      <c r="D32" s="74" t="s">
        <v>463</v>
      </c>
      <c r="E32" s="76">
        <v>220</v>
      </c>
      <c r="F32" s="76">
        <v>220</v>
      </c>
      <c r="G32" s="76" t="s">
        <v>23</v>
      </c>
      <c r="H32" s="77" t="s">
        <v>35</v>
      </c>
      <c r="I32" s="77"/>
      <c r="J32" s="77"/>
      <c r="K32" s="106">
        <v>43872</v>
      </c>
      <c r="L32" s="78" t="s">
        <v>136</v>
      </c>
      <c r="M32" s="74"/>
      <c r="N32" s="78"/>
      <c r="O32" s="78"/>
      <c r="P32" s="74"/>
      <c r="Q32" s="74"/>
      <c r="R32" s="81" t="s">
        <v>32</v>
      </c>
    </row>
    <row r="33" spans="1:18" s="1" customFormat="1" ht="45" customHeight="1" x14ac:dyDescent="0.3">
      <c r="A33" s="73">
        <v>30</v>
      </c>
      <c r="B33" s="74" t="s">
        <v>71</v>
      </c>
      <c r="C33" s="74" t="s">
        <v>775</v>
      </c>
      <c r="D33" s="74" t="s">
        <v>774</v>
      </c>
      <c r="E33" s="76">
        <v>106</v>
      </c>
      <c r="F33" s="76">
        <v>106</v>
      </c>
      <c r="G33" s="76" t="s">
        <v>23</v>
      </c>
      <c r="H33" s="77" t="s">
        <v>35</v>
      </c>
      <c r="I33" s="77">
        <v>34.75</v>
      </c>
      <c r="J33" s="77">
        <v>249.8</v>
      </c>
      <c r="K33" s="106">
        <v>43889</v>
      </c>
      <c r="L33" s="78" t="s">
        <v>72</v>
      </c>
      <c r="M33" s="106">
        <v>45289</v>
      </c>
      <c r="N33" s="78"/>
      <c r="O33" s="78"/>
      <c r="P33" s="74"/>
      <c r="Q33" s="74"/>
      <c r="R33" s="81" t="s">
        <v>386</v>
      </c>
    </row>
    <row r="34" spans="1:18" s="1" customFormat="1" ht="45" customHeight="1" x14ac:dyDescent="0.3">
      <c r="A34" s="73">
        <v>31</v>
      </c>
      <c r="B34" s="74" t="s">
        <v>464</v>
      </c>
      <c r="C34" s="74" t="s">
        <v>773</v>
      </c>
      <c r="D34" s="74" t="s">
        <v>772</v>
      </c>
      <c r="E34" s="76">
        <v>60</v>
      </c>
      <c r="F34" s="76">
        <v>60</v>
      </c>
      <c r="G34" s="76" t="s">
        <v>23</v>
      </c>
      <c r="H34" s="77" t="s">
        <v>35</v>
      </c>
      <c r="I34" s="77">
        <v>32.130000000000003</v>
      </c>
      <c r="J34" s="77">
        <v>248.31</v>
      </c>
      <c r="K34" s="106">
        <v>43902</v>
      </c>
      <c r="L34" s="78" t="s">
        <v>465</v>
      </c>
      <c r="M34" s="106">
        <v>45401</v>
      </c>
      <c r="N34" s="78"/>
      <c r="O34" s="78"/>
      <c r="P34" s="74"/>
      <c r="Q34" s="74"/>
      <c r="R34" s="81" t="s">
        <v>386</v>
      </c>
    </row>
    <row r="35" spans="1:18" s="1" customFormat="1" ht="45" customHeight="1" x14ac:dyDescent="0.3">
      <c r="A35" s="73">
        <v>32</v>
      </c>
      <c r="B35" s="74" t="s">
        <v>466</v>
      </c>
      <c r="C35" s="74" t="s">
        <v>771</v>
      </c>
      <c r="D35" s="74" t="s">
        <v>770</v>
      </c>
      <c r="E35" s="76">
        <v>33</v>
      </c>
      <c r="F35" s="76">
        <v>33</v>
      </c>
      <c r="G35" s="76" t="s">
        <v>23</v>
      </c>
      <c r="H35" s="77" t="s">
        <v>35</v>
      </c>
      <c r="I35" s="77">
        <v>43.21</v>
      </c>
      <c r="J35" s="77">
        <v>240.46</v>
      </c>
      <c r="K35" s="106">
        <v>43896</v>
      </c>
      <c r="L35" s="78" t="s">
        <v>467</v>
      </c>
      <c r="M35" s="106">
        <v>44630</v>
      </c>
      <c r="N35" s="110">
        <v>45807</v>
      </c>
      <c r="O35" s="78"/>
      <c r="P35" s="74"/>
      <c r="Q35" s="74"/>
      <c r="R35" s="81" t="s">
        <v>4</v>
      </c>
    </row>
    <row r="36" spans="1:18" s="1" customFormat="1" ht="45" customHeight="1" x14ac:dyDescent="0.3">
      <c r="A36" s="73">
        <v>33</v>
      </c>
      <c r="B36" s="74" t="s">
        <v>468</v>
      </c>
      <c r="C36" s="74" t="s">
        <v>769</v>
      </c>
      <c r="D36" s="74" t="s">
        <v>469</v>
      </c>
      <c r="E36" s="76">
        <v>237</v>
      </c>
      <c r="F36" s="76">
        <v>237</v>
      </c>
      <c r="G36" s="76" t="s">
        <v>23</v>
      </c>
      <c r="H36" s="77" t="s">
        <v>470</v>
      </c>
      <c r="I36" s="77">
        <v>29.98</v>
      </c>
      <c r="J36" s="77">
        <v>242.56</v>
      </c>
      <c r="K36" s="106">
        <v>43910</v>
      </c>
      <c r="L36" s="78" t="s">
        <v>471</v>
      </c>
      <c r="M36" s="106">
        <v>44665</v>
      </c>
      <c r="N36" s="110">
        <v>45504</v>
      </c>
      <c r="O36" s="110">
        <v>45763</v>
      </c>
      <c r="P36" s="74"/>
      <c r="Q36" s="74"/>
      <c r="R36" s="81" t="s">
        <v>169</v>
      </c>
    </row>
    <row r="37" spans="1:18" s="1" customFormat="1" ht="45" customHeight="1" x14ac:dyDescent="0.3">
      <c r="A37" s="73">
        <v>34</v>
      </c>
      <c r="B37" s="74" t="s">
        <v>73</v>
      </c>
      <c r="C37" s="74" t="s">
        <v>768</v>
      </c>
      <c r="D37" s="74" t="s">
        <v>74</v>
      </c>
      <c r="E37" s="76">
        <v>200</v>
      </c>
      <c r="F37" s="76">
        <v>200</v>
      </c>
      <c r="G37" s="76" t="s">
        <v>23</v>
      </c>
      <c r="H37" s="77" t="s">
        <v>35</v>
      </c>
      <c r="I37" s="77"/>
      <c r="J37" s="77"/>
      <c r="K37" s="106">
        <v>43917</v>
      </c>
      <c r="L37" s="78" t="s">
        <v>137</v>
      </c>
      <c r="M37" s="74"/>
      <c r="N37" s="78"/>
      <c r="O37" s="78"/>
      <c r="P37" s="74"/>
      <c r="Q37" s="74"/>
      <c r="R37" s="81" t="s">
        <v>32</v>
      </c>
    </row>
    <row r="38" spans="1:18" s="1" customFormat="1" ht="45" customHeight="1" x14ac:dyDescent="0.3">
      <c r="A38" s="73">
        <v>35</v>
      </c>
      <c r="B38" s="74" t="s">
        <v>472</v>
      </c>
      <c r="C38" s="74" t="s">
        <v>767</v>
      </c>
      <c r="D38" s="74" t="s">
        <v>473</v>
      </c>
      <c r="E38" s="76">
        <v>220</v>
      </c>
      <c r="F38" s="76">
        <v>220</v>
      </c>
      <c r="G38" s="76" t="s">
        <v>23</v>
      </c>
      <c r="H38" s="77" t="s">
        <v>35</v>
      </c>
      <c r="I38" s="77"/>
      <c r="J38" s="77"/>
      <c r="K38" s="106">
        <v>43927</v>
      </c>
      <c r="L38" s="78" t="s">
        <v>138</v>
      </c>
      <c r="M38" s="74"/>
      <c r="N38" s="78"/>
      <c r="O38" s="78"/>
      <c r="P38" s="74"/>
      <c r="Q38" s="74"/>
      <c r="R38" s="81" t="s">
        <v>32</v>
      </c>
    </row>
    <row r="39" spans="1:18" s="1" customFormat="1" ht="45" customHeight="1" x14ac:dyDescent="0.3">
      <c r="A39" s="73">
        <v>36</v>
      </c>
      <c r="B39" s="74" t="s">
        <v>474</v>
      </c>
      <c r="C39" s="74" t="s">
        <v>766</v>
      </c>
      <c r="D39" s="74" t="s">
        <v>475</v>
      </c>
      <c r="E39" s="76">
        <v>156</v>
      </c>
      <c r="F39" s="76">
        <v>156</v>
      </c>
      <c r="G39" s="76" t="s">
        <v>23</v>
      </c>
      <c r="H39" s="77" t="s">
        <v>405</v>
      </c>
      <c r="I39" s="77">
        <v>23.75</v>
      </c>
      <c r="J39" s="77">
        <v>249.77</v>
      </c>
      <c r="K39" s="106">
        <v>43937</v>
      </c>
      <c r="L39" s="78" t="s">
        <v>476</v>
      </c>
      <c r="M39" s="106">
        <v>44883</v>
      </c>
      <c r="N39" s="78"/>
      <c r="O39" s="78"/>
      <c r="P39" s="74"/>
      <c r="Q39" s="74"/>
      <c r="R39" s="81" t="s">
        <v>386</v>
      </c>
    </row>
    <row r="40" spans="1:18" s="1" customFormat="1" ht="45" customHeight="1" x14ac:dyDescent="0.3">
      <c r="A40" s="73">
        <v>37</v>
      </c>
      <c r="B40" s="74" t="s">
        <v>80</v>
      </c>
      <c r="C40" s="74" t="s">
        <v>81</v>
      </c>
      <c r="D40" s="74" t="s">
        <v>765</v>
      </c>
      <c r="E40" s="76">
        <v>179</v>
      </c>
      <c r="F40" s="76">
        <v>179</v>
      </c>
      <c r="G40" s="76" t="s">
        <v>23</v>
      </c>
      <c r="H40" s="77" t="s">
        <v>405</v>
      </c>
      <c r="I40" s="77">
        <v>45.87</v>
      </c>
      <c r="J40" s="77">
        <v>699.83</v>
      </c>
      <c r="K40" s="106">
        <v>43937</v>
      </c>
      <c r="L40" s="74" t="s">
        <v>421</v>
      </c>
      <c r="M40" s="106">
        <v>45001</v>
      </c>
      <c r="N40" s="78"/>
      <c r="O40" s="78"/>
      <c r="P40" s="74"/>
      <c r="Q40" s="74"/>
      <c r="R40" s="81" t="s">
        <v>386</v>
      </c>
    </row>
    <row r="41" spans="1:18" s="1" customFormat="1" ht="45" customHeight="1" x14ac:dyDescent="0.3">
      <c r="A41" s="73">
        <v>38</v>
      </c>
      <c r="B41" s="74" t="s">
        <v>75</v>
      </c>
      <c r="C41" s="74" t="s">
        <v>764</v>
      </c>
      <c r="D41" s="74" t="s">
        <v>77</v>
      </c>
      <c r="E41" s="76">
        <v>49</v>
      </c>
      <c r="F41" s="76">
        <v>49</v>
      </c>
      <c r="G41" s="76" t="s">
        <v>23</v>
      </c>
      <c r="H41" s="77" t="s">
        <v>35</v>
      </c>
      <c r="I41" s="77"/>
      <c r="J41" s="77"/>
      <c r="K41" s="106">
        <v>44004</v>
      </c>
      <c r="L41" s="78" t="s">
        <v>78</v>
      </c>
      <c r="M41" s="74"/>
      <c r="N41" s="78"/>
      <c r="O41" s="78"/>
      <c r="P41" s="74"/>
      <c r="Q41" s="74"/>
      <c r="R41" s="81" t="s">
        <v>32</v>
      </c>
    </row>
    <row r="42" spans="1:18" s="1" customFormat="1" ht="45" customHeight="1" x14ac:dyDescent="0.3">
      <c r="A42" s="73">
        <v>39</v>
      </c>
      <c r="B42" s="74" t="s">
        <v>76</v>
      </c>
      <c r="C42" s="74" t="s">
        <v>763</v>
      </c>
      <c r="D42" s="74" t="s">
        <v>762</v>
      </c>
      <c r="E42" s="76">
        <v>252</v>
      </c>
      <c r="F42" s="76">
        <v>252</v>
      </c>
      <c r="G42" s="76" t="s">
        <v>23</v>
      </c>
      <c r="H42" s="77" t="s">
        <v>456</v>
      </c>
      <c r="I42" s="77">
        <v>22.42</v>
      </c>
      <c r="J42" s="77">
        <v>249.71</v>
      </c>
      <c r="K42" s="106">
        <v>44007</v>
      </c>
      <c r="L42" s="74" t="s">
        <v>79</v>
      </c>
      <c r="M42" s="106">
        <v>44796</v>
      </c>
      <c r="N42" s="110">
        <v>45653</v>
      </c>
      <c r="O42" s="110">
        <v>45791</v>
      </c>
      <c r="P42" s="74"/>
      <c r="Q42" s="74"/>
      <c r="R42" s="81" t="s">
        <v>169</v>
      </c>
    </row>
    <row r="43" spans="1:18" s="1" customFormat="1" ht="45" customHeight="1" x14ac:dyDescent="0.3">
      <c r="A43" s="73">
        <v>40</v>
      </c>
      <c r="B43" s="74" t="s">
        <v>477</v>
      </c>
      <c r="C43" s="74" t="s">
        <v>761</v>
      </c>
      <c r="D43" s="74" t="s">
        <v>760</v>
      </c>
      <c r="E43" s="76">
        <v>82</v>
      </c>
      <c r="F43" s="76">
        <v>82</v>
      </c>
      <c r="G43" s="76" t="s">
        <v>23</v>
      </c>
      <c r="H43" s="77" t="s">
        <v>35</v>
      </c>
      <c r="I43" s="77">
        <v>40.479999999999997</v>
      </c>
      <c r="J43" s="77">
        <v>236.35</v>
      </c>
      <c r="K43" s="106">
        <v>44022</v>
      </c>
      <c r="L43" s="74" t="s">
        <v>478</v>
      </c>
      <c r="M43" s="106">
        <v>45483</v>
      </c>
      <c r="N43" s="78"/>
      <c r="O43" s="78"/>
      <c r="P43" s="74"/>
      <c r="Q43" s="74"/>
      <c r="R43" s="81" t="s">
        <v>386</v>
      </c>
    </row>
    <row r="44" spans="1:18" s="1" customFormat="1" ht="45" customHeight="1" x14ac:dyDescent="0.3">
      <c r="A44" s="73">
        <v>41</v>
      </c>
      <c r="B44" s="74" t="s">
        <v>479</v>
      </c>
      <c r="C44" s="74" t="s">
        <v>480</v>
      </c>
      <c r="D44" s="74" t="s">
        <v>759</v>
      </c>
      <c r="E44" s="76">
        <v>185</v>
      </c>
      <c r="F44" s="76">
        <v>185</v>
      </c>
      <c r="G44" s="76" t="s">
        <v>23</v>
      </c>
      <c r="H44" s="77" t="s">
        <v>405</v>
      </c>
      <c r="I44" s="77">
        <v>37.08</v>
      </c>
      <c r="J44" s="77">
        <v>242.07</v>
      </c>
      <c r="K44" s="106">
        <v>44041</v>
      </c>
      <c r="L44" s="74" t="s">
        <v>481</v>
      </c>
      <c r="M44" s="106">
        <v>45407</v>
      </c>
      <c r="N44" s="110">
        <v>46142</v>
      </c>
      <c r="O44" s="78"/>
      <c r="P44" s="74"/>
      <c r="Q44" s="74"/>
      <c r="R44" s="81" t="s">
        <v>169</v>
      </c>
    </row>
    <row r="45" spans="1:18" s="1" customFormat="1" ht="45" customHeight="1" x14ac:dyDescent="0.3">
      <c r="A45" s="73">
        <v>42</v>
      </c>
      <c r="B45" s="74" t="s">
        <v>482</v>
      </c>
      <c r="C45" s="74" t="s">
        <v>483</v>
      </c>
      <c r="D45" s="74" t="s">
        <v>758</v>
      </c>
      <c r="E45" s="76">
        <v>62</v>
      </c>
      <c r="F45" s="76">
        <v>62</v>
      </c>
      <c r="G45" s="76" t="s">
        <v>23</v>
      </c>
      <c r="H45" s="77" t="s">
        <v>666</v>
      </c>
      <c r="I45" s="77">
        <v>35.36</v>
      </c>
      <c r="J45" s="77">
        <v>248.92</v>
      </c>
      <c r="K45" s="106">
        <v>44055</v>
      </c>
      <c r="L45" s="74" t="s">
        <v>484</v>
      </c>
      <c r="M45" s="106">
        <v>45027</v>
      </c>
      <c r="N45" s="110">
        <v>45649</v>
      </c>
      <c r="O45" s="78"/>
      <c r="P45" s="74"/>
      <c r="Q45" s="74"/>
      <c r="R45" s="81" t="s">
        <v>169</v>
      </c>
    </row>
    <row r="46" spans="1:18" s="1" customFormat="1" ht="45" customHeight="1" x14ac:dyDescent="0.3">
      <c r="A46" s="73">
        <v>43</v>
      </c>
      <c r="B46" s="74" t="s">
        <v>485</v>
      </c>
      <c r="C46" s="74" t="s">
        <v>757</v>
      </c>
      <c r="D46" s="74" t="s">
        <v>756</v>
      </c>
      <c r="E46" s="76">
        <v>99</v>
      </c>
      <c r="F46" s="76">
        <v>99</v>
      </c>
      <c r="G46" s="76" t="s">
        <v>23</v>
      </c>
      <c r="H46" s="77" t="s">
        <v>35</v>
      </c>
      <c r="I46" s="77">
        <v>40.770000000000003</v>
      </c>
      <c r="J46" s="77">
        <v>246.09</v>
      </c>
      <c r="K46" s="106">
        <v>44052</v>
      </c>
      <c r="L46" s="74" t="s">
        <v>486</v>
      </c>
      <c r="M46" s="106">
        <v>44874</v>
      </c>
      <c r="N46" s="110">
        <v>45421</v>
      </c>
      <c r="O46" s="78"/>
      <c r="P46" s="106">
        <v>46126</v>
      </c>
      <c r="Q46" s="74"/>
      <c r="R46" s="81" t="s">
        <v>68</v>
      </c>
    </row>
    <row r="47" spans="1:18" s="1" customFormat="1" ht="45" customHeight="1" x14ac:dyDescent="0.3">
      <c r="A47" s="73">
        <v>44</v>
      </c>
      <c r="B47" s="74" t="s">
        <v>487</v>
      </c>
      <c r="C47" s="74" t="s">
        <v>755</v>
      </c>
      <c r="D47" s="74" t="s">
        <v>754</v>
      </c>
      <c r="E47" s="76">
        <v>92</v>
      </c>
      <c r="F47" s="76">
        <v>92</v>
      </c>
      <c r="G47" s="76" t="s">
        <v>23</v>
      </c>
      <c r="H47" s="77" t="s">
        <v>35</v>
      </c>
      <c r="I47" s="77">
        <v>36.6</v>
      </c>
      <c r="J47" s="77">
        <v>249.22</v>
      </c>
      <c r="K47" s="106">
        <v>44083</v>
      </c>
      <c r="L47" s="74" t="s">
        <v>488</v>
      </c>
      <c r="M47" s="106">
        <v>45180</v>
      </c>
      <c r="N47" s="110">
        <v>45819</v>
      </c>
      <c r="O47" s="78"/>
      <c r="P47" s="74"/>
      <c r="Q47" s="74"/>
      <c r="R47" s="81" t="s">
        <v>4</v>
      </c>
    </row>
    <row r="48" spans="1:18" s="1" customFormat="1" ht="45" customHeight="1" x14ac:dyDescent="0.3">
      <c r="A48" s="73">
        <v>45</v>
      </c>
      <c r="B48" s="74" t="s">
        <v>489</v>
      </c>
      <c r="C48" s="74" t="s">
        <v>753</v>
      </c>
      <c r="D48" s="74" t="s">
        <v>831</v>
      </c>
      <c r="E48" s="76">
        <v>59</v>
      </c>
      <c r="F48" s="76">
        <v>59</v>
      </c>
      <c r="G48" s="76" t="s">
        <v>23</v>
      </c>
      <c r="H48" s="77" t="s">
        <v>35</v>
      </c>
      <c r="I48" s="77">
        <v>34.590000000000003</v>
      </c>
      <c r="J48" s="77">
        <v>248.36</v>
      </c>
      <c r="K48" s="106">
        <v>44091</v>
      </c>
      <c r="L48" s="74" t="s">
        <v>490</v>
      </c>
      <c r="M48" s="106">
        <v>44916</v>
      </c>
      <c r="N48" s="110">
        <v>45544</v>
      </c>
      <c r="O48" s="78"/>
      <c r="P48" s="74"/>
      <c r="Q48" s="74"/>
      <c r="R48" s="81" t="s">
        <v>169</v>
      </c>
    </row>
    <row r="49" spans="1:18" s="1" customFormat="1" ht="45" customHeight="1" x14ac:dyDescent="0.3">
      <c r="A49" s="73">
        <v>46</v>
      </c>
      <c r="B49" s="74" t="s">
        <v>491</v>
      </c>
      <c r="C49" s="74" t="s">
        <v>752</v>
      </c>
      <c r="D49" s="74" t="s">
        <v>751</v>
      </c>
      <c r="E49" s="76">
        <v>159</v>
      </c>
      <c r="F49" s="76">
        <v>159</v>
      </c>
      <c r="G49" s="76" t="s">
        <v>23</v>
      </c>
      <c r="H49" s="77" t="s">
        <v>408</v>
      </c>
      <c r="I49" s="77">
        <v>36.36</v>
      </c>
      <c r="J49" s="77">
        <v>249.86</v>
      </c>
      <c r="K49" s="106">
        <v>44098</v>
      </c>
      <c r="L49" s="74" t="s">
        <v>492</v>
      </c>
      <c r="M49" s="106">
        <v>45370</v>
      </c>
      <c r="N49" s="78"/>
      <c r="O49" s="78"/>
      <c r="P49" s="74"/>
      <c r="Q49" s="74"/>
      <c r="R49" s="81" t="s">
        <v>386</v>
      </c>
    </row>
    <row r="50" spans="1:18" s="70" customFormat="1" ht="45" customHeight="1" x14ac:dyDescent="0.3">
      <c r="A50" s="73">
        <v>47</v>
      </c>
      <c r="B50" s="74" t="s">
        <v>493</v>
      </c>
      <c r="C50" s="74" t="s">
        <v>750</v>
      </c>
      <c r="D50" s="74" t="s">
        <v>749</v>
      </c>
      <c r="E50" s="76">
        <v>86</v>
      </c>
      <c r="F50" s="76">
        <v>86</v>
      </c>
      <c r="G50" s="76" t="s">
        <v>23</v>
      </c>
      <c r="H50" s="77" t="s">
        <v>35</v>
      </c>
      <c r="I50" s="77">
        <v>39.54</v>
      </c>
      <c r="J50" s="77">
        <v>249.9</v>
      </c>
      <c r="K50" s="106">
        <v>44120</v>
      </c>
      <c r="L50" s="74" t="s">
        <v>494</v>
      </c>
      <c r="M50" s="106">
        <v>46086</v>
      </c>
      <c r="N50" s="78"/>
      <c r="O50" s="78"/>
      <c r="P50" s="74"/>
      <c r="Q50" s="74"/>
      <c r="R50" s="81" t="s">
        <v>386</v>
      </c>
    </row>
    <row r="51" spans="1:18" s="1" customFormat="1" ht="45" customHeight="1" x14ac:dyDescent="0.3">
      <c r="A51" s="73">
        <v>48</v>
      </c>
      <c r="B51" s="74" t="s">
        <v>495</v>
      </c>
      <c r="C51" s="74" t="s">
        <v>748</v>
      </c>
      <c r="D51" s="74" t="s">
        <v>747</v>
      </c>
      <c r="E51" s="76">
        <v>149</v>
      </c>
      <c r="F51" s="76">
        <v>149</v>
      </c>
      <c r="G51" s="76" t="s">
        <v>23</v>
      </c>
      <c r="H51" s="77" t="s">
        <v>405</v>
      </c>
      <c r="I51" s="77">
        <v>22.63</v>
      </c>
      <c r="J51" s="77">
        <v>249.1</v>
      </c>
      <c r="K51" s="106">
        <v>44123</v>
      </c>
      <c r="L51" s="74" t="s">
        <v>496</v>
      </c>
      <c r="M51" s="74"/>
      <c r="N51" s="78"/>
      <c r="O51" s="78"/>
      <c r="P51" s="74"/>
      <c r="Q51" s="74"/>
      <c r="R51" s="81" t="s">
        <v>32</v>
      </c>
    </row>
    <row r="52" spans="1:18" s="70" customFormat="1" ht="45" customHeight="1" x14ac:dyDescent="0.3">
      <c r="A52" s="73">
        <v>49</v>
      </c>
      <c r="B52" s="74" t="s">
        <v>497</v>
      </c>
      <c r="C52" s="74" t="s">
        <v>746</v>
      </c>
      <c r="D52" s="74" t="s">
        <v>745</v>
      </c>
      <c r="E52" s="76">
        <v>119</v>
      </c>
      <c r="F52" s="76">
        <v>119</v>
      </c>
      <c r="G52" s="76" t="s">
        <v>23</v>
      </c>
      <c r="H52" s="77" t="s">
        <v>405</v>
      </c>
      <c r="I52" s="77">
        <v>31.13</v>
      </c>
      <c r="J52" s="77">
        <v>249.89</v>
      </c>
      <c r="K52" s="106">
        <v>44152</v>
      </c>
      <c r="L52" s="74" t="s">
        <v>498</v>
      </c>
      <c r="M52" s="106">
        <v>45439</v>
      </c>
      <c r="N52" s="110">
        <v>45988</v>
      </c>
      <c r="O52" s="78"/>
      <c r="P52" s="74"/>
      <c r="Q52" s="74"/>
      <c r="R52" s="81" t="s">
        <v>4</v>
      </c>
    </row>
    <row r="53" spans="1:18" s="1" customFormat="1" ht="45" customHeight="1" x14ac:dyDescent="0.3">
      <c r="A53" s="73">
        <v>50</v>
      </c>
      <c r="B53" s="74" t="s">
        <v>499</v>
      </c>
      <c r="C53" s="74" t="s">
        <v>500</v>
      </c>
      <c r="D53" s="74" t="s">
        <v>744</v>
      </c>
      <c r="E53" s="76">
        <v>172</v>
      </c>
      <c r="F53" s="76">
        <v>172</v>
      </c>
      <c r="G53" s="76" t="s">
        <v>23</v>
      </c>
      <c r="H53" s="77" t="s">
        <v>666</v>
      </c>
      <c r="I53" s="77">
        <v>59.27</v>
      </c>
      <c r="J53" s="77">
        <v>547.85</v>
      </c>
      <c r="K53" s="106">
        <v>44152</v>
      </c>
      <c r="L53" s="74" t="s">
        <v>501</v>
      </c>
      <c r="M53" s="106">
        <v>45021</v>
      </c>
      <c r="N53" s="110">
        <v>45778</v>
      </c>
      <c r="O53" s="78"/>
      <c r="P53" s="74"/>
      <c r="Q53" s="74"/>
      <c r="R53" s="81" t="s">
        <v>4</v>
      </c>
    </row>
    <row r="54" spans="1:18" s="1" customFormat="1" ht="45" customHeight="1" x14ac:dyDescent="0.3">
      <c r="A54" s="73">
        <v>51</v>
      </c>
      <c r="B54" s="74" t="s">
        <v>743</v>
      </c>
      <c r="C54" s="74" t="s">
        <v>502</v>
      </c>
      <c r="D54" s="74" t="s">
        <v>742</v>
      </c>
      <c r="E54" s="76">
        <v>240</v>
      </c>
      <c r="F54" s="76">
        <v>240</v>
      </c>
      <c r="G54" s="76" t="s">
        <v>23</v>
      </c>
      <c r="H54" s="77" t="s">
        <v>470</v>
      </c>
      <c r="I54" s="77">
        <v>34.130000000000003</v>
      </c>
      <c r="J54" s="77">
        <v>249.8</v>
      </c>
      <c r="K54" s="106">
        <v>44155</v>
      </c>
      <c r="L54" s="74" t="s">
        <v>503</v>
      </c>
      <c r="M54" s="74"/>
      <c r="N54" s="78"/>
      <c r="O54" s="78"/>
      <c r="P54" s="74"/>
      <c r="Q54" s="74"/>
      <c r="R54" s="81" t="s">
        <v>32</v>
      </c>
    </row>
    <row r="55" spans="1:18" s="70" customFormat="1" ht="45" customHeight="1" x14ac:dyDescent="0.3">
      <c r="A55" s="73">
        <v>52</v>
      </c>
      <c r="B55" s="74" t="s">
        <v>124</v>
      </c>
      <c r="C55" s="74" t="s">
        <v>741</v>
      </c>
      <c r="D55" s="74" t="s">
        <v>740</v>
      </c>
      <c r="E55" s="76">
        <v>75</v>
      </c>
      <c r="F55" s="76">
        <v>75</v>
      </c>
      <c r="G55" s="76" t="s">
        <v>23</v>
      </c>
      <c r="H55" s="77" t="s">
        <v>35</v>
      </c>
      <c r="I55" s="77">
        <v>31.3</v>
      </c>
      <c r="J55" s="77">
        <v>248.12</v>
      </c>
      <c r="K55" s="106">
        <v>44166</v>
      </c>
      <c r="L55" s="74" t="s">
        <v>504</v>
      </c>
      <c r="M55" s="106">
        <v>45146</v>
      </c>
      <c r="N55" s="110">
        <v>46008</v>
      </c>
      <c r="O55" s="78"/>
      <c r="P55" s="74"/>
      <c r="Q55" s="74"/>
      <c r="R55" s="81" t="s">
        <v>4</v>
      </c>
    </row>
    <row r="56" spans="1:18" s="70" customFormat="1" ht="45" customHeight="1" x14ac:dyDescent="0.3">
      <c r="A56" s="73">
        <v>53</v>
      </c>
      <c r="B56" s="74" t="s">
        <v>505</v>
      </c>
      <c r="C56" s="74" t="s">
        <v>739</v>
      </c>
      <c r="D56" s="74" t="s">
        <v>738</v>
      </c>
      <c r="E56" s="76">
        <v>102</v>
      </c>
      <c r="F56" s="76">
        <v>102</v>
      </c>
      <c r="G56" s="76">
        <v>0</v>
      </c>
      <c r="H56" s="77" t="s">
        <v>405</v>
      </c>
      <c r="I56" s="77">
        <v>37.83</v>
      </c>
      <c r="J56" s="77">
        <v>249.95</v>
      </c>
      <c r="K56" s="106">
        <v>44179</v>
      </c>
      <c r="L56" s="74" t="s">
        <v>506</v>
      </c>
      <c r="M56" s="106">
        <v>44874</v>
      </c>
      <c r="N56" s="110">
        <v>45425</v>
      </c>
      <c r="O56" s="110">
        <v>45982</v>
      </c>
      <c r="P56" s="74"/>
      <c r="Q56" s="74"/>
      <c r="R56" s="81" t="s">
        <v>169</v>
      </c>
    </row>
    <row r="57" spans="1:18" s="1" customFormat="1" ht="45" customHeight="1" x14ac:dyDescent="0.3">
      <c r="A57" s="73">
        <v>54</v>
      </c>
      <c r="B57" s="74" t="s">
        <v>507</v>
      </c>
      <c r="C57" s="74" t="s">
        <v>737</v>
      </c>
      <c r="D57" s="74" t="s">
        <v>736</v>
      </c>
      <c r="E57" s="76">
        <v>45</v>
      </c>
      <c r="F57" s="76">
        <v>45</v>
      </c>
      <c r="G57" s="76">
        <v>0</v>
      </c>
      <c r="H57" s="77" t="s">
        <v>35</v>
      </c>
      <c r="I57" s="77">
        <v>54.3</v>
      </c>
      <c r="J57" s="77">
        <v>229.75</v>
      </c>
      <c r="K57" s="106">
        <v>44203</v>
      </c>
      <c r="L57" s="74" t="s">
        <v>508</v>
      </c>
      <c r="M57" s="106">
        <v>44974</v>
      </c>
      <c r="N57" s="78"/>
      <c r="O57" s="78"/>
      <c r="P57" s="74"/>
      <c r="Q57" s="74"/>
      <c r="R57" s="81" t="s">
        <v>386</v>
      </c>
    </row>
    <row r="58" spans="1:18" s="70" customFormat="1" ht="45" customHeight="1" x14ac:dyDescent="0.3">
      <c r="A58" s="73">
        <v>55</v>
      </c>
      <c r="B58" s="74" t="s">
        <v>509</v>
      </c>
      <c r="C58" s="74" t="s">
        <v>735</v>
      </c>
      <c r="D58" s="74" t="s">
        <v>734</v>
      </c>
      <c r="E58" s="76">
        <v>79</v>
      </c>
      <c r="F58" s="76">
        <v>79</v>
      </c>
      <c r="G58" s="76">
        <v>0</v>
      </c>
      <c r="H58" s="77" t="s">
        <v>35</v>
      </c>
      <c r="I58" s="77">
        <v>26.08</v>
      </c>
      <c r="J58" s="77">
        <v>248.4</v>
      </c>
      <c r="K58" s="106">
        <v>44232</v>
      </c>
      <c r="L58" s="74" t="s">
        <v>510</v>
      </c>
      <c r="M58" s="106">
        <v>45635</v>
      </c>
      <c r="N58" s="110">
        <v>46003</v>
      </c>
      <c r="O58" s="78"/>
      <c r="P58" s="74"/>
      <c r="Q58" s="74"/>
      <c r="R58" s="81" t="s">
        <v>4</v>
      </c>
    </row>
    <row r="59" spans="1:18" s="1" customFormat="1" ht="45" customHeight="1" x14ac:dyDescent="0.3">
      <c r="A59" s="73">
        <v>56</v>
      </c>
      <c r="B59" s="74" t="s">
        <v>511</v>
      </c>
      <c r="C59" s="74" t="s">
        <v>733</v>
      </c>
      <c r="D59" s="74" t="s">
        <v>732</v>
      </c>
      <c r="E59" s="76">
        <v>128</v>
      </c>
      <c r="F59" s="76">
        <v>128</v>
      </c>
      <c r="G59" s="76">
        <v>0</v>
      </c>
      <c r="H59" s="77" t="s">
        <v>405</v>
      </c>
      <c r="I59" s="77">
        <v>34.450000000000003</v>
      </c>
      <c r="J59" s="77">
        <v>249.73</v>
      </c>
      <c r="K59" s="106">
        <v>44286</v>
      </c>
      <c r="L59" s="74" t="s">
        <v>512</v>
      </c>
      <c r="M59" s="106">
        <v>45415</v>
      </c>
      <c r="N59" s="78"/>
      <c r="O59" s="78"/>
      <c r="P59" s="74"/>
      <c r="Q59" s="74"/>
      <c r="R59" s="81" t="s">
        <v>386</v>
      </c>
    </row>
    <row r="60" spans="1:18" s="70" customFormat="1" ht="45" customHeight="1" x14ac:dyDescent="0.3">
      <c r="A60" s="73">
        <v>57</v>
      </c>
      <c r="B60" s="74" t="s">
        <v>513</v>
      </c>
      <c r="C60" s="74" t="s">
        <v>514</v>
      </c>
      <c r="D60" s="74" t="s">
        <v>731</v>
      </c>
      <c r="E60" s="76">
        <v>70</v>
      </c>
      <c r="F60" s="76">
        <v>70</v>
      </c>
      <c r="G60" s="76"/>
      <c r="H60" s="77" t="s">
        <v>405</v>
      </c>
      <c r="I60" s="77"/>
      <c r="J60" s="77"/>
      <c r="K60" s="106">
        <v>44288</v>
      </c>
      <c r="L60" s="74" t="s">
        <v>868</v>
      </c>
      <c r="M60" s="74"/>
      <c r="N60" s="78"/>
      <c r="O60" s="78"/>
      <c r="P60" s="74"/>
      <c r="Q60" s="74"/>
      <c r="R60" s="81" t="s">
        <v>32</v>
      </c>
    </row>
    <row r="61" spans="1:18" s="70" customFormat="1" ht="45" customHeight="1" x14ac:dyDescent="0.3">
      <c r="A61" s="73">
        <v>58</v>
      </c>
      <c r="B61" s="74" t="s">
        <v>515</v>
      </c>
      <c r="C61" s="74" t="s">
        <v>730</v>
      </c>
      <c r="D61" s="74" t="s">
        <v>729</v>
      </c>
      <c r="E61" s="76">
        <v>129</v>
      </c>
      <c r="F61" s="76">
        <v>129</v>
      </c>
      <c r="G61" s="76">
        <v>0</v>
      </c>
      <c r="H61" s="77" t="s">
        <v>627</v>
      </c>
      <c r="I61" s="77">
        <v>35.950000000000003</v>
      </c>
      <c r="J61" s="77" t="s">
        <v>728</v>
      </c>
      <c r="K61" s="106">
        <v>44294</v>
      </c>
      <c r="L61" s="74" t="s">
        <v>516</v>
      </c>
      <c r="M61" s="106">
        <v>45838</v>
      </c>
      <c r="N61" s="78"/>
      <c r="O61" s="78"/>
      <c r="P61" s="74"/>
      <c r="Q61" s="74"/>
      <c r="R61" s="81" t="s">
        <v>64</v>
      </c>
    </row>
    <row r="62" spans="1:18" s="1" customFormat="1" ht="45" customHeight="1" x14ac:dyDescent="0.3">
      <c r="A62" s="73">
        <v>59</v>
      </c>
      <c r="B62" s="74" t="s">
        <v>517</v>
      </c>
      <c r="C62" s="74" t="s">
        <v>518</v>
      </c>
      <c r="D62" s="74" t="s">
        <v>727</v>
      </c>
      <c r="E62" s="76">
        <v>122</v>
      </c>
      <c r="F62" s="76">
        <v>122</v>
      </c>
      <c r="G62" s="76">
        <v>0</v>
      </c>
      <c r="H62" s="77" t="s">
        <v>627</v>
      </c>
      <c r="I62" s="77">
        <v>40.03</v>
      </c>
      <c r="J62" s="77">
        <v>249.65</v>
      </c>
      <c r="K62" s="106">
        <v>44305</v>
      </c>
      <c r="L62" s="74" t="s">
        <v>519</v>
      </c>
      <c r="M62" s="106">
        <v>45679</v>
      </c>
      <c r="N62" s="78"/>
      <c r="O62" s="78"/>
      <c r="P62" s="74"/>
      <c r="Q62" s="74"/>
      <c r="R62" s="81" t="s">
        <v>64</v>
      </c>
    </row>
    <row r="63" spans="1:18" s="70" customFormat="1" ht="45" customHeight="1" x14ac:dyDescent="0.3">
      <c r="A63" s="73">
        <v>60</v>
      </c>
      <c r="B63" s="74" t="s">
        <v>129</v>
      </c>
      <c r="C63" s="74" t="s">
        <v>726</v>
      </c>
      <c r="D63" s="74" t="s">
        <v>725</v>
      </c>
      <c r="E63" s="76">
        <v>131</v>
      </c>
      <c r="F63" s="76">
        <v>131</v>
      </c>
      <c r="G63" s="76">
        <v>0</v>
      </c>
      <c r="H63" s="77" t="s">
        <v>405</v>
      </c>
      <c r="I63" s="77">
        <v>30.27</v>
      </c>
      <c r="J63" s="77">
        <v>249.94</v>
      </c>
      <c r="K63" s="106">
        <v>44326</v>
      </c>
      <c r="L63" s="74" t="s">
        <v>130</v>
      </c>
      <c r="M63" s="106">
        <v>45439</v>
      </c>
      <c r="N63" s="110">
        <v>45988</v>
      </c>
      <c r="O63" s="78"/>
      <c r="P63" s="74"/>
      <c r="Q63" s="74"/>
      <c r="R63" s="81" t="s">
        <v>4</v>
      </c>
    </row>
    <row r="64" spans="1:18" s="1" customFormat="1" ht="45" customHeight="1" x14ac:dyDescent="0.3">
      <c r="A64" s="73">
        <v>61</v>
      </c>
      <c r="B64" s="74" t="s">
        <v>520</v>
      </c>
      <c r="C64" s="74" t="s">
        <v>724</v>
      </c>
      <c r="D64" s="74" t="s">
        <v>723</v>
      </c>
      <c r="E64" s="76">
        <v>152</v>
      </c>
      <c r="F64" s="76">
        <v>152</v>
      </c>
      <c r="G64" s="76">
        <v>0</v>
      </c>
      <c r="H64" s="77" t="s">
        <v>470</v>
      </c>
      <c r="I64" s="77">
        <v>20.23</v>
      </c>
      <c r="J64" s="77">
        <v>249.6</v>
      </c>
      <c r="K64" s="106">
        <v>44337</v>
      </c>
      <c r="L64" s="74" t="s">
        <v>131</v>
      </c>
      <c r="M64" s="106">
        <v>45190</v>
      </c>
      <c r="N64" s="78"/>
      <c r="O64" s="78"/>
      <c r="P64" s="74"/>
      <c r="Q64" s="74"/>
      <c r="R64" s="81" t="s">
        <v>386</v>
      </c>
    </row>
    <row r="65" spans="1:18" s="70" customFormat="1" ht="45" customHeight="1" x14ac:dyDescent="0.3">
      <c r="A65" s="73">
        <v>62</v>
      </c>
      <c r="B65" s="74" t="s">
        <v>521</v>
      </c>
      <c r="C65" s="74" t="s">
        <v>722</v>
      </c>
      <c r="D65" s="74" t="s">
        <v>721</v>
      </c>
      <c r="E65" s="76">
        <v>267</v>
      </c>
      <c r="F65" s="76">
        <v>267</v>
      </c>
      <c r="G65" s="76">
        <v>0</v>
      </c>
      <c r="H65" s="77" t="s">
        <v>720</v>
      </c>
      <c r="I65" s="77">
        <v>37.78</v>
      </c>
      <c r="J65" s="77">
        <v>249.98</v>
      </c>
      <c r="K65" s="106">
        <v>44351</v>
      </c>
      <c r="L65" s="74" t="s">
        <v>522</v>
      </c>
      <c r="M65" s="106">
        <v>45967</v>
      </c>
      <c r="N65" s="78"/>
      <c r="O65" s="78"/>
      <c r="P65" s="74"/>
      <c r="Q65" s="74"/>
      <c r="R65" s="81" t="s">
        <v>64</v>
      </c>
    </row>
    <row r="66" spans="1:18" s="1" customFormat="1" ht="45" customHeight="1" x14ac:dyDescent="0.3">
      <c r="A66" s="73">
        <v>63</v>
      </c>
      <c r="B66" s="74" t="s">
        <v>523</v>
      </c>
      <c r="C66" s="74" t="s">
        <v>719</v>
      </c>
      <c r="D66" s="74" t="s">
        <v>718</v>
      </c>
      <c r="E66" s="76">
        <v>150</v>
      </c>
      <c r="F66" s="76">
        <v>150</v>
      </c>
      <c r="G66" s="76">
        <v>0</v>
      </c>
      <c r="H66" s="77" t="s">
        <v>405</v>
      </c>
      <c r="I66" s="77">
        <v>27.09</v>
      </c>
      <c r="J66" s="77">
        <v>249.94</v>
      </c>
      <c r="K66" s="106">
        <v>44356</v>
      </c>
      <c r="L66" s="74" t="s">
        <v>524</v>
      </c>
      <c r="M66" s="106">
        <v>45394</v>
      </c>
      <c r="N66" s="106">
        <v>46066</v>
      </c>
      <c r="O66" s="78"/>
      <c r="P66" s="74"/>
      <c r="Q66" s="74"/>
      <c r="R66" s="81" t="s">
        <v>169</v>
      </c>
    </row>
    <row r="67" spans="1:18" s="1" customFormat="1" ht="45" customHeight="1" x14ac:dyDescent="0.3">
      <c r="A67" s="73">
        <v>64</v>
      </c>
      <c r="B67" s="74" t="s">
        <v>132</v>
      </c>
      <c r="C67" s="74" t="s">
        <v>717</v>
      </c>
      <c r="D67" s="74" t="s">
        <v>716</v>
      </c>
      <c r="E67" s="76">
        <v>175</v>
      </c>
      <c r="F67" s="76">
        <v>175</v>
      </c>
      <c r="G67" s="76">
        <v>0</v>
      </c>
      <c r="H67" s="77" t="s">
        <v>408</v>
      </c>
      <c r="I67" s="77">
        <v>28.82</v>
      </c>
      <c r="J67" s="77">
        <v>249.71</v>
      </c>
      <c r="K67" s="106">
        <v>44361</v>
      </c>
      <c r="L67" s="74" t="s">
        <v>133</v>
      </c>
      <c r="M67" s="106">
        <v>45699</v>
      </c>
      <c r="N67" s="78"/>
      <c r="O67" s="78"/>
      <c r="P67" s="74"/>
      <c r="Q67" s="74"/>
      <c r="R67" s="81" t="s">
        <v>386</v>
      </c>
    </row>
    <row r="68" spans="1:18" s="1" customFormat="1" ht="45" customHeight="1" x14ac:dyDescent="0.3">
      <c r="A68" s="73">
        <v>65</v>
      </c>
      <c r="B68" s="74" t="s">
        <v>525</v>
      </c>
      <c r="C68" s="74" t="s">
        <v>134</v>
      </c>
      <c r="D68" s="74" t="s">
        <v>715</v>
      </c>
      <c r="E68" s="76">
        <v>56</v>
      </c>
      <c r="F68" s="76">
        <v>56</v>
      </c>
      <c r="G68" s="76">
        <v>0</v>
      </c>
      <c r="H68" s="77" t="s">
        <v>35</v>
      </c>
      <c r="I68" s="77">
        <v>48</v>
      </c>
      <c r="J68" s="77">
        <v>249.55</v>
      </c>
      <c r="K68" s="106">
        <v>44376</v>
      </c>
      <c r="L68" s="74" t="s">
        <v>135</v>
      </c>
      <c r="M68" s="106">
        <v>45216</v>
      </c>
      <c r="N68" s="78"/>
      <c r="O68" s="78"/>
      <c r="P68" s="74"/>
      <c r="Q68" s="74"/>
      <c r="R68" s="81" t="s">
        <v>386</v>
      </c>
    </row>
    <row r="69" spans="1:18" s="1" customFormat="1" ht="45" customHeight="1" x14ac:dyDescent="0.3">
      <c r="A69" s="73">
        <v>66</v>
      </c>
      <c r="B69" s="112" t="s">
        <v>526</v>
      </c>
      <c r="C69" s="112" t="s">
        <v>714</v>
      </c>
      <c r="D69" s="112" t="s">
        <v>713</v>
      </c>
      <c r="E69" s="113">
        <v>212</v>
      </c>
      <c r="F69" s="113">
        <v>212</v>
      </c>
      <c r="G69" s="113">
        <v>0</v>
      </c>
      <c r="H69" s="114" t="s">
        <v>35</v>
      </c>
      <c r="I69" s="114"/>
      <c r="J69" s="114"/>
      <c r="K69" s="115">
        <v>44391</v>
      </c>
      <c r="L69" s="112" t="s">
        <v>527</v>
      </c>
      <c r="M69" s="112"/>
      <c r="N69" s="116"/>
      <c r="O69" s="116"/>
      <c r="P69" s="112"/>
      <c r="Q69" s="112"/>
      <c r="R69" s="117" t="s">
        <v>32</v>
      </c>
    </row>
    <row r="70" spans="1:18" s="1" customFormat="1" ht="45" customHeight="1" x14ac:dyDescent="0.3">
      <c r="A70" s="73">
        <v>67</v>
      </c>
      <c r="B70" s="74" t="s">
        <v>528</v>
      </c>
      <c r="C70" s="74" t="s">
        <v>529</v>
      </c>
      <c r="D70" s="74" t="s">
        <v>712</v>
      </c>
      <c r="E70" s="113">
        <v>98</v>
      </c>
      <c r="F70" s="113">
        <v>98</v>
      </c>
      <c r="G70" s="76">
        <v>0</v>
      </c>
      <c r="H70" s="77" t="s">
        <v>405</v>
      </c>
      <c r="I70" s="77">
        <v>29.03</v>
      </c>
      <c r="J70" s="77">
        <v>249.13</v>
      </c>
      <c r="K70" s="106">
        <v>44404</v>
      </c>
      <c r="L70" s="74" t="s">
        <v>530</v>
      </c>
      <c r="M70" s="106">
        <v>46107</v>
      </c>
      <c r="N70" s="78"/>
      <c r="O70" s="78"/>
      <c r="P70" s="74"/>
      <c r="Q70" s="74"/>
      <c r="R70" s="81" t="s">
        <v>386</v>
      </c>
    </row>
    <row r="71" spans="1:18" s="1" customFormat="1" ht="45" customHeight="1" x14ac:dyDescent="0.3">
      <c r="A71" s="73">
        <v>68</v>
      </c>
      <c r="B71" s="74" t="s">
        <v>531</v>
      </c>
      <c r="C71" s="74" t="s">
        <v>532</v>
      </c>
      <c r="D71" s="74" t="s">
        <v>711</v>
      </c>
      <c r="E71" s="76">
        <v>224</v>
      </c>
      <c r="F71" s="76">
        <v>224</v>
      </c>
      <c r="G71" s="76" t="s">
        <v>23</v>
      </c>
      <c r="H71" s="77" t="s">
        <v>408</v>
      </c>
      <c r="I71" s="77">
        <v>29.58</v>
      </c>
      <c r="J71" s="77">
        <v>249.63</v>
      </c>
      <c r="K71" s="106">
        <v>44410</v>
      </c>
      <c r="L71" s="74" t="s">
        <v>533</v>
      </c>
      <c r="M71" s="106">
        <v>45645</v>
      </c>
      <c r="N71" s="78"/>
      <c r="O71" s="78"/>
      <c r="P71" s="74"/>
      <c r="Q71" s="74"/>
      <c r="R71" s="81" t="s">
        <v>386</v>
      </c>
    </row>
    <row r="72" spans="1:18" s="1" customFormat="1" ht="45" customHeight="1" x14ac:dyDescent="0.3">
      <c r="A72" s="73">
        <v>69</v>
      </c>
      <c r="B72" s="74" t="s">
        <v>534</v>
      </c>
      <c r="C72" s="74" t="s">
        <v>710</v>
      </c>
      <c r="D72" s="74" t="s">
        <v>709</v>
      </c>
      <c r="E72" s="76">
        <v>68</v>
      </c>
      <c r="F72" s="76">
        <v>68</v>
      </c>
      <c r="G72" s="76"/>
      <c r="H72" s="77"/>
      <c r="I72" s="77"/>
      <c r="J72" s="77"/>
      <c r="K72" s="106">
        <v>44425</v>
      </c>
      <c r="L72" s="74" t="s">
        <v>535</v>
      </c>
      <c r="M72" s="74"/>
      <c r="N72" s="78"/>
      <c r="O72" s="78"/>
      <c r="P72" s="74"/>
      <c r="Q72" s="74"/>
      <c r="R72" s="81" t="s">
        <v>32</v>
      </c>
    </row>
    <row r="73" spans="1:18" s="1" customFormat="1" ht="45" customHeight="1" x14ac:dyDescent="0.3">
      <c r="A73" s="73">
        <v>70</v>
      </c>
      <c r="B73" s="74" t="s">
        <v>536</v>
      </c>
      <c r="C73" s="74" t="s">
        <v>708</v>
      </c>
      <c r="D73" s="74" t="s">
        <v>707</v>
      </c>
      <c r="E73" s="76">
        <v>142</v>
      </c>
      <c r="F73" s="76">
        <v>142</v>
      </c>
      <c r="G73" s="76">
        <v>0</v>
      </c>
      <c r="H73" s="77" t="s">
        <v>627</v>
      </c>
      <c r="I73" s="77">
        <v>38.82</v>
      </c>
      <c r="J73" s="77">
        <v>249.74</v>
      </c>
      <c r="K73" s="106">
        <v>44438</v>
      </c>
      <c r="L73" s="74" t="s">
        <v>537</v>
      </c>
      <c r="M73" s="74"/>
      <c r="N73" s="78"/>
      <c r="O73" s="78"/>
      <c r="P73" s="74"/>
      <c r="Q73" s="74"/>
      <c r="R73" s="81" t="s">
        <v>32</v>
      </c>
    </row>
    <row r="74" spans="1:18" s="1" customFormat="1" ht="45" customHeight="1" x14ac:dyDescent="0.3">
      <c r="A74" s="73">
        <v>71</v>
      </c>
      <c r="B74" s="74" t="s">
        <v>538</v>
      </c>
      <c r="C74" s="74" t="s">
        <v>706</v>
      </c>
      <c r="D74" s="74" t="s">
        <v>705</v>
      </c>
      <c r="E74" s="76">
        <v>99</v>
      </c>
      <c r="F74" s="76">
        <v>99</v>
      </c>
      <c r="G74" s="76">
        <v>0</v>
      </c>
      <c r="H74" s="77" t="s">
        <v>666</v>
      </c>
      <c r="I74" s="77">
        <v>37.35</v>
      </c>
      <c r="J74" s="77">
        <v>228.43</v>
      </c>
      <c r="K74" s="106">
        <v>44438</v>
      </c>
      <c r="L74" s="74" t="s">
        <v>539</v>
      </c>
      <c r="M74" s="74"/>
      <c r="N74" s="78"/>
      <c r="O74" s="78"/>
      <c r="P74" s="74"/>
      <c r="Q74" s="74"/>
      <c r="R74" s="81" t="s">
        <v>927</v>
      </c>
    </row>
    <row r="75" spans="1:18" s="1" customFormat="1" ht="45" customHeight="1" x14ac:dyDescent="0.3">
      <c r="A75" s="73">
        <v>72</v>
      </c>
      <c r="B75" s="74" t="s">
        <v>540</v>
      </c>
      <c r="C75" s="74" t="s">
        <v>912</v>
      </c>
      <c r="D75" s="74" t="s">
        <v>704</v>
      </c>
      <c r="E75" s="76">
        <v>74</v>
      </c>
      <c r="F75" s="76">
        <v>74</v>
      </c>
      <c r="G75" s="76">
        <v>0</v>
      </c>
      <c r="H75" s="77" t="s">
        <v>405</v>
      </c>
      <c r="I75" s="77">
        <v>30.61</v>
      </c>
      <c r="J75" s="77">
        <v>249.98</v>
      </c>
      <c r="K75" s="74" t="s">
        <v>703</v>
      </c>
      <c r="L75" s="74" t="s">
        <v>928</v>
      </c>
      <c r="M75" s="106">
        <v>45727</v>
      </c>
      <c r="N75" s="78"/>
      <c r="O75" s="78"/>
      <c r="P75" s="74"/>
      <c r="Q75" s="74"/>
      <c r="R75" s="81" t="s">
        <v>386</v>
      </c>
    </row>
    <row r="76" spans="1:18" s="1" customFormat="1" ht="45" customHeight="1" x14ac:dyDescent="0.3">
      <c r="A76" s="73">
        <v>73</v>
      </c>
      <c r="B76" s="74" t="s">
        <v>541</v>
      </c>
      <c r="C76" s="74" t="s">
        <v>899</v>
      </c>
      <c r="D76" s="74" t="s">
        <v>900</v>
      </c>
      <c r="E76" s="76">
        <v>76</v>
      </c>
      <c r="F76" s="76">
        <v>76</v>
      </c>
      <c r="G76" s="76">
        <v>0</v>
      </c>
      <c r="H76" s="77" t="s">
        <v>35</v>
      </c>
      <c r="I76" s="77">
        <v>38.86</v>
      </c>
      <c r="J76" s="77">
        <v>249.65</v>
      </c>
      <c r="K76" s="106">
        <v>44708</v>
      </c>
      <c r="L76" s="74" t="s">
        <v>542</v>
      </c>
      <c r="M76" s="106">
        <v>45809</v>
      </c>
      <c r="N76" s="78"/>
      <c r="O76" s="78"/>
      <c r="P76" s="74"/>
      <c r="Q76" s="74"/>
      <c r="R76" s="81" t="s">
        <v>386</v>
      </c>
    </row>
    <row r="77" spans="1:18" s="1" customFormat="1" ht="45" customHeight="1" x14ac:dyDescent="0.3">
      <c r="A77" s="73">
        <v>74</v>
      </c>
      <c r="B77" s="74" t="s">
        <v>543</v>
      </c>
      <c r="C77" s="74" t="s">
        <v>544</v>
      </c>
      <c r="D77" s="74" t="s">
        <v>702</v>
      </c>
      <c r="E77" s="76">
        <v>170</v>
      </c>
      <c r="F77" s="76">
        <v>170</v>
      </c>
      <c r="G77" s="76">
        <v>0</v>
      </c>
      <c r="H77" s="77" t="s">
        <v>405</v>
      </c>
      <c r="I77" s="77">
        <v>34.42</v>
      </c>
      <c r="J77" s="77">
        <v>249.89</v>
      </c>
      <c r="K77" s="106">
        <v>44531</v>
      </c>
      <c r="L77" s="74" t="s">
        <v>545</v>
      </c>
      <c r="M77" s="106">
        <v>45583</v>
      </c>
      <c r="N77" s="78"/>
      <c r="O77" s="78"/>
      <c r="P77" s="74"/>
      <c r="Q77" s="74"/>
      <c r="R77" s="81" t="s">
        <v>386</v>
      </c>
    </row>
    <row r="78" spans="1:18" s="1" customFormat="1" ht="45" customHeight="1" x14ac:dyDescent="0.3">
      <c r="A78" s="73">
        <v>75</v>
      </c>
      <c r="B78" s="74" t="s">
        <v>701</v>
      </c>
      <c r="C78" s="74" t="s">
        <v>700</v>
      </c>
      <c r="D78" s="74" t="s">
        <v>699</v>
      </c>
      <c r="E78" s="76">
        <v>42</v>
      </c>
      <c r="F78" s="76">
        <v>42</v>
      </c>
      <c r="G78" s="76"/>
      <c r="H78" s="77" t="s">
        <v>35</v>
      </c>
      <c r="I78" s="77"/>
      <c r="J78" s="77"/>
      <c r="K78" s="106">
        <v>44553</v>
      </c>
      <c r="L78" s="74" t="s">
        <v>546</v>
      </c>
      <c r="M78" s="74"/>
      <c r="N78" s="78"/>
      <c r="O78" s="78"/>
      <c r="P78" s="74"/>
      <c r="Q78" s="74"/>
      <c r="R78" s="81" t="s">
        <v>32</v>
      </c>
    </row>
    <row r="79" spans="1:18" s="1" customFormat="1" ht="45" customHeight="1" x14ac:dyDescent="0.3">
      <c r="A79" s="73">
        <v>76</v>
      </c>
      <c r="B79" s="74" t="s">
        <v>547</v>
      </c>
      <c r="C79" s="74" t="s">
        <v>548</v>
      </c>
      <c r="D79" s="74" t="s">
        <v>698</v>
      </c>
      <c r="E79" s="76">
        <v>117</v>
      </c>
      <c r="F79" s="76">
        <v>117</v>
      </c>
      <c r="G79" s="76">
        <v>0</v>
      </c>
      <c r="H79" s="77" t="s">
        <v>405</v>
      </c>
      <c r="I79" s="77">
        <v>40.35</v>
      </c>
      <c r="J79" s="77">
        <v>249.33</v>
      </c>
      <c r="K79" s="106">
        <v>44561</v>
      </c>
      <c r="L79" s="74" t="s">
        <v>549</v>
      </c>
      <c r="M79" s="106">
        <v>45769</v>
      </c>
      <c r="N79" s="78"/>
      <c r="O79" s="78"/>
      <c r="P79" s="74"/>
      <c r="Q79" s="74"/>
      <c r="R79" s="81" t="s">
        <v>64</v>
      </c>
    </row>
    <row r="80" spans="1:18" s="70" customFormat="1" ht="45" customHeight="1" x14ac:dyDescent="0.3">
      <c r="A80" s="73">
        <v>77</v>
      </c>
      <c r="B80" s="74" t="s">
        <v>550</v>
      </c>
      <c r="C80" s="74" t="s">
        <v>551</v>
      </c>
      <c r="D80" s="74" t="s">
        <v>697</v>
      </c>
      <c r="E80" s="76">
        <v>52</v>
      </c>
      <c r="F80" s="76">
        <v>52</v>
      </c>
      <c r="G80" s="76">
        <v>0</v>
      </c>
      <c r="H80" s="77" t="s">
        <v>35</v>
      </c>
      <c r="I80" s="77">
        <v>31.43</v>
      </c>
      <c r="J80" s="77">
        <v>224.81</v>
      </c>
      <c r="K80" s="106">
        <v>44574</v>
      </c>
      <c r="L80" s="74" t="s">
        <v>552</v>
      </c>
      <c r="M80" s="74"/>
      <c r="N80" s="78"/>
      <c r="O80" s="78"/>
      <c r="P80" s="74"/>
      <c r="Q80" s="74"/>
      <c r="R80" s="81" t="s">
        <v>32</v>
      </c>
    </row>
    <row r="81" spans="1:18" s="1" customFormat="1" ht="45" customHeight="1" x14ac:dyDescent="0.3">
      <c r="A81" s="73">
        <v>78</v>
      </c>
      <c r="B81" s="74" t="s">
        <v>553</v>
      </c>
      <c r="C81" s="74" t="s">
        <v>554</v>
      </c>
      <c r="D81" s="74" t="s">
        <v>696</v>
      </c>
      <c r="E81" s="76">
        <v>253</v>
      </c>
      <c r="F81" s="76">
        <v>253</v>
      </c>
      <c r="G81" s="76"/>
      <c r="H81" s="77"/>
      <c r="I81" s="77"/>
      <c r="J81" s="77"/>
      <c r="K81" s="106">
        <v>44580</v>
      </c>
      <c r="L81" s="74" t="s">
        <v>555</v>
      </c>
      <c r="M81" s="74"/>
      <c r="N81" s="78"/>
      <c r="O81" s="78"/>
      <c r="P81" s="74"/>
      <c r="Q81" s="74"/>
      <c r="R81" s="81" t="s">
        <v>32</v>
      </c>
    </row>
    <row r="82" spans="1:18" s="1" customFormat="1" ht="45" customHeight="1" x14ac:dyDescent="0.3">
      <c r="A82" s="73">
        <v>79</v>
      </c>
      <c r="B82" s="74" t="s">
        <v>556</v>
      </c>
      <c r="C82" s="74" t="s">
        <v>695</v>
      </c>
      <c r="D82" s="74" t="s">
        <v>913</v>
      </c>
      <c r="E82" s="76">
        <v>179</v>
      </c>
      <c r="F82" s="76">
        <v>179</v>
      </c>
      <c r="G82" s="76">
        <v>0</v>
      </c>
      <c r="H82" s="77" t="s">
        <v>408</v>
      </c>
      <c r="I82" s="77">
        <v>27.92</v>
      </c>
      <c r="J82" s="77">
        <v>249.96</v>
      </c>
      <c r="K82" s="106">
        <v>44606</v>
      </c>
      <c r="L82" s="74" t="s">
        <v>929</v>
      </c>
      <c r="M82" s="106">
        <v>46079</v>
      </c>
      <c r="N82" s="78"/>
      <c r="O82" s="78"/>
      <c r="P82" s="74"/>
      <c r="Q82" s="74"/>
      <c r="R82" s="81" t="s">
        <v>386</v>
      </c>
    </row>
    <row r="83" spans="1:18" s="1" customFormat="1" ht="45" customHeight="1" x14ac:dyDescent="0.3">
      <c r="A83" s="73">
        <v>80</v>
      </c>
      <c r="B83" s="74" t="s">
        <v>557</v>
      </c>
      <c r="C83" s="74" t="s">
        <v>558</v>
      </c>
      <c r="D83" s="74" t="s">
        <v>694</v>
      </c>
      <c r="E83" s="76">
        <v>45</v>
      </c>
      <c r="F83" s="76">
        <v>45</v>
      </c>
      <c r="G83" s="76">
        <v>0</v>
      </c>
      <c r="H83" s="77" t="s">
        <v>35</v>
      </c>
      <c r="I83" s="77">
        <v>41.65</v>
      </c>
      <c r="J83" s="77">
        <v>229.98</v>
      </c>
      <c r="K83" s="106">
        <v>44606</v>
      </c>
      <c r="L83" s="74" t="s">
        <v>559</v>
      </c>
      <c r="M83" s="106">
        <v>45756</v>
      </c>
      <c r="N83" s="78"/>
      <c r="O83" s="78"/>
      <c r="P83" s="74"/>
      <c r="Q83" s="74"/>
      <c r="R83" s="81" t="s">
        <v>64</v>
      </c>
    </row>
    <row r="84" spans="1:18" s="1" customFormat="1" ht="45" customHeight="1" x14ac:dyDescent="0.3">
      <c r="A84" s="73">
        <v>81</v>
      </c>
      <c r="B84" s="74" t="s">
        <v>560</v>
      </c>
      <c r="C84" s="74" t="s">
        <v>561</v>
      </c>
      <c r="D84" s="74" t="s">
        <v>693</v>
      </c>
      <c r="E84" s="76">
        <v>28</v>
      </c>
      <c r="F84" s="76">
        <v>28</v>
      </c>
      <c r="G84" s="76">
        <v>0</v>
      </c>
      <c r="H84" s="77" t="s">
        <v>35</v>
      </c>
      <c r="I84" s="77">
        <v>47.98</v>
      </c>
      <c r="J84" s="77">
        <v>200.35</v>
      </c>
      <c r="K84" s="106">
        <v>44609</v>
      </c>
      <c r="L84" s="74" t="s">
        <v>562</v>
      </c>
      <c r="M84" s="74"/>
      <c r="N84" s="78"/>
      <c r="O84" s="78"/>
      <c r="P84" s="74"/>
      <c r="Q84" s="74"/>
      <c r="R84" s="81" t="s">
        <v>32</v>
      </c>
    </row>
    <row r="85" spans="1:18" s="1" customFormat="1" ht="45" customHeight="1" x14ac:dyDescent="0.3">
      <c r="A85" s="73">
        <v>82</v>
      </c>
      <c r="B85" s="118" t="s">
        <v>563</v>
      </c>
      <c r="C85" s="118" t="s">
        <v>692</v>
      </c>
      <c r="D85" s="118" t="s">
        <v>691</v>
      </c>
      <c r="E85" s="119">
        <v>130</v>
      </c>
      <c r="F85" s="119">
        <v>130</v>
      </c>
      <c r="G85" s="119">
        <v>0</v>
      </c>
      <c r="H85" s="120" t="s">
        <v>405</v>
      </c>
      <c r="I85" s="120">
        <v>38.75</v>
      </c>
      <c r="J85" s="120">
        <v>249.98</v>
      </c>
      <c r="K85" s="121">
        <v>44622</v>
      </c>
      <c r="L85" s="118" t="s">
        <v>564</v>
      </c>
      <c r="M85" s="121">
        <v>45737</v>
      </c>
      <c r="N85" s="122"/>
      <c r="O85" s="122"/>
      <c r="P85" s="118"/>
      <c r="Q85" s="118"/>
      <c r="R85" s="123" t="s">
        <v>386</v>
      </c>
    </row>
    <row r="86" spans="1:18" s="1" customFormat="1" ht="45" customHeight="1" x14ac:dyDescent="0.3">
      <c r="A86" s="73">
        <v>83</v>
      </c>
      <c r="B86" s="74" t="s">
        <v>565</v>
      </c>
      <c r="C86" s="74" t="s">
        <v>566</v>
      </c>
      <c r="D86" s="74" t="s">
        <v>567</v>
      </c>
      <c r="E86" s="124">
        <v>61</v>
      </c>
      <c r="F86" s="119">
        <v>61</v>
      </c>
      <c r="G86" s="113">
        <v>0</v>
      </c>
      <c r="H86" s="77" t="s">
        <v>666</v>
      </c>
      <c r="I86" s="125">
        <v>26.81</v>
      </c>
      <c r="J86" s="77">
        <v>229.31</v>
      </c>
      <c r="K86" s="126">
        <v>44684</v>
      </c>
      <c r="L86" s="127" t="s">
        <v>568</v>
      </c>
      <c r="M86" s="127"/>
      <c r="N86" s="78"/>
      <c r="O86" s="128"/>
      <c r="P86" s="74"/>
      <c r="Q86" s="74"/>
      <c r="R86" s="81" t="s">
        <v>32</v>
      </c>
    </row>
    <row r="87" spans="1:18" s="70" customFormat="1" ht="45" customHeight="1" x14ac:dyDescent="0.3">
      <c r="A87" s="73">
        <v>84</v>
      </c>
      <c r="B87" s="118" t="s">
        <v>569</v>
      </c>
      <c r="C87" s="118" t="s">
        <v>690</v>
      </c>
      <c r="D87" s="118" t="s">
        <v>689</v>
      </c>
      <c r="E87" s="119">
        <v>71</v>
      </c>
      <c r="F87" s="119">
        <v>71</v>
      </c>
      <c r="G87" s="119">
        <v>0</v>
      </c>
      <c r="H87" s="120" t="s">
        <v>35</v>
      </c>
      <c r="I87" s="120">
        <v>41.36</v>
      </c>
      <c r="J87" s="120">
        <v>249.98</v>
      </c>
      <c r="K87" s="121">
        <v>44736</v>
      </c>
      <c r="L87" s="118" t="s">
        <v>570</v>
      </c>
      <c r="M87" s="121">
        <v>45903</v>
      </c>
      <c r="N87" s="122"/>
      <c r="O87" s="122"/>
      <c r="P87" s="118"/>
      <c r="Q87" s="118"/>
      <c r="R87" s="123" t="s">
        <v>386</v>
      </c>
    </row>
    <row r="88" spans="1:18" s="70" customFormat="1" ht="45" customHeight="1" x14ac:dyDescent="0.3">
      <c r="A88" s="129">
        <v>85</v>
      </c>
      <c r="B88" s="130" t="s">
        <v>571</v>
      </c>
      <c r="C88" s="130" t="s">
        <v>688</v>
      </c>
      <c r="D88" s="130" t="s">
        <v>687</v>
      </c>
      <c r="E88" s="131">
        <v>104</v>
      </c>
      <c r="F88" s="131">
        <v>104</v>
      </c>
      <c r="G88" s="131">
        <v>0</v>
      </c>
      <c r="H88" s="132" t="s">
        <v>405</v>
      </c>
      <c r="I88" s="132"/>
      <c r="J88" s="132"/>
      <c r="K88" s="133">
        <v>44657</v>
      </c>
      <c r="L88" s="130" t="s">
        <v>869</v>
      </c>
      <c r="M88" s="130"/>
      <c r="N88" s="134"/>
      <c r="O88" s="134"/>
      <c r="P88" s="130"/>
      <c r="Q88" s="106">
        <v>46052</v>
      </c>
      <c r="R88" s="81" t="s">
        <v>901</v>
      </c>
    </row>
    <row r="89" spans="1:18" s="1" customFormat="1" ht="45" customHeight="1" x14ac:dyDescent="0.3">
      <c r="A89" s="73">
        <v>86</v>
      </c>
      <c r="B89" s="74" t="s">
        <v>572</v>
      </c>
      <c r="C89" s="74" t="s">
        <v>686</v>
      </c>
      <c r="D89" s="74" t="s">
        <v>685</v>
      </c>
      <c r="E89" s="76">
        <v>190</v>
      </c>
      <c r="F89" s="76">
        <v>190</v>
      </c>
      <c r="G89" s="76">
        <v>0</v>
      </c>
      <c r="H89" s="77" t="s">
        <v>470</v>
      </c>
      <c r="I89" s="77">
        <v>30.09</v>
      </c>
      <c r="J89" s="77">
        <v>229.49</v>
      </c>
      <c r="K89" s="106">
        <v>44672</v>
      </c>
      <c r="L89" s="74" t="s">
        <v>573</v>
      </c>
      <c r="M89" s="106">
        <v>46037</v>
      </c>
      <c r="N89" s="78"/>
      <c r="O89" s="78"/>
      <c r="P89" s="74"/>
      <c r="Q89" s="74"/>
      <c r="R89" s="81" t="s">
        <v>64</v>
      </c>
    </row>
    <row r="90" spans="1:18" s="1" customFormat="1" ht="45" customHeight="1" x14ac:dyDescent="0.3">
      <c r="A90" s="73">
        <v>87</v>
      </c>
      <c r="B90" s="74" t="s">
        <v>574</v>
      </c>
      <c r="C90" s="74" t="s">
        <v>575</v>
      </c>
      <c r="D90" s="74" t="s">
        <v>684</v>
      </c>
      <c r="E90" s="76">
        <v>180</v>
      </c>
      <c r="F90" s="76">
        <v>180</v>
      </c>
      <c r="G90" s="76">
        <v>0</v>
      </c>
      <c r="H90" s="77" t="s">
        <v>470</v>
      </c>
      <c r="I90" s="77">
        <v>28.69</v>
      </c>
      <c r="J90" s="77">
        <v>229.95</v>
      </c>
      <c r="K90" s="106">
        <v>44721</v>
      </c>
      <c r="L90" s="74" t="s">
        <v>576</v>
      </c>
      <c r="M90" s="106">
        <v>46037</v>
      </c>
      <c r="N90" s="78"/>
      <c r="O90" s="78"/>
      <c r="P90" s="74"/>
      <c r="Q90" s="74"/>
      <c r="R90" s="81" t="s">
        <v>64</v>
      </c>
    </row>
    <row r="91" spans="1:18" s="1" customFormat="1" ht="45" customHeight="1" x14ac:dyDescent="0.3">
      <c r="A91" s="73">
        <v>88</v>
      </c>
      <c r="B91" s="74" t="s">
        <v>577</v>
      </c>
      <c r="C91" s="74" t="s">
        <v>683</v>
      </c>
      <c r="D91" s="74" t="s">
        <v>682</v>
      </c>
      <c r="E91" s="76">
        <v>178</v>
      </c>
      <c r="F91" s="76">
        <v>178</v>
      </c>
      <c r="G91" s="76">
        <v>0</v>
      </c>
      <c r="H91" s="77" t="s">
        <v>405</v>
      </c>
      <c r="I91" s="77">
        <v>36.700000000000003</v>
      </c>
      <c r="J91" s="77">
        <v>249.56</v>
      </c>
      <c r="K91" s="106">
        <v>44728</v>
      </c>
      <c r="L91" s="74" t="s">
        <v>578</v>
      </c>
      <c r="M91" s="106">
        <v>45727</v>
      </c>
      <c r="N91" s="78"/>
      <c r="O91" s="78"/>
      <c r="P91" s="74"/>
      <c r="Q91" s="74"/>
      <c r="R91" s="81" t="s">
        <v>64</v>
      </c>
    </row>
    <row r="92" spans="1:18" s="1" customFormat="1" ht="45" customHeight="1" x14ac:dyDescent="0.3">
      <c r="A92" s="73">
        <v>89</v>
      </c>
      <c r="B92" s="74" t="s">
        <v>579</v>
      </c>
      <c r="C92" s="74" t="s">
        <v>681</v>
      </c>
      <c r="D92" s="74" t="s">
        <v>680</v>
      </c>
      <c r="E92" s="76">
        <v>261</v>
      </c>
      <c r="F92" s="76">
        <v>261</v>
      </c>
      <c r="G92" s="76">
        <v>0</v>
      </c>
      <c r="H92" s="77" t="s">
        <v>470</v>
      </c>
      <c r="I92" s="77">
        <v>34.450000000000003</v>
      </c>
      <c r="J92" s="77">
        <v>249.98</v>
      </c>
      <c r="K92" s="106">
        <v>44683</v>
      </c>
      <c r="L92" s="74" t="s">
        <v>580</v>
      </c>
      <c r="M92" s="106">
        <v>45646</v>
      </c>
      <c r="N92" s="78"/>
      <c r="O92" s="78"/>
      <c r="P92" s="74"/>
      <c r="Q92" s="74"/>
      <c r="R92" s="81" t="s">
        <v>386</v>
      </c>
    </row>
    <row r="93" spans="1:18" s="1" customFormat="1" ht="45" customHeight="1" x14ac:dyDescent="0.3">
      <c r="A93" s="73">
        <v>90</v>
      </c>
      <c r="B93" s="74" t="s">
        <v>581</v>
      </c>
      <c r="C93" s="74" t="s">
        <v>679</v>
      </c>
      <c r="D93" s="74" t="s">
        <v>678</v>
      </c>
      <c r="E93" s="76">
        <v>193</v>
      </c>
      <c r="F93" s="76"/>
      <c r="G93" s="76"/>
      <c r="H93" s="77" t="s">
        <v>470</v>
      </c>
      <c r="I93" s="77"/>
      <c r="J93" s="77"/>
      <c r="K93" s="106">
        <v>44712</v>
      </c>
      <c r="L93" s="74" t="s">
        <v>582</v>
      </c>
      <c r="M93" s="74"/>
      <c r="N93" s="78"/>
      <c r="O93" s="78"/>
      <c r="P93" s="74"/>
      <c r="Q93" s="74"/>
      <c r="R93" s="81" t="s">
        <v>32</v>
      </c>
    </row>
    <row r="94" spans="1:18" s="1" customFormat="1" ht="45" customHeight="1" x14ac:dyDescent="0.3">
      <c r="A94" s="73">
        <v>91</v>
      </c>
      <c r="B94" s="74" t="s">
        <v>583</v>
      </c>
      <c r="C94" s="74" t="s">
        <v>677</v>
      </c>
      <c r="D94" s="74" t="s">
        <v>584</v>
      </c>
      <c r="E94" s="76">
        <v>98</v>
      </c>
      <c r="F94" s="76"/>
      <c r="G94" s="76"/>
      <c r="H94" s="77"/>
      <c r="I94" s="77"/>
      <c r="J94" s="77"/>
      <c r="K94" s="106">
        <v>44672</v>
      </c>
      <c r="L94" s="74" t="s">
        <v>585</v>
      </c>
      <c r="M94" s="74"/>
      <c r="N94" s="78"/>
      <c r="O94" s="78"/>
      <c r="P94" s="74"/>
      <c r="Q94" s="74"/>
      <c r="R94" s="81" t="s">
        <v>32</v>
      </c>
    </row>
    <row r="95" spans="1:18" s="1" customFormat="1" ht="45" customHeight="1" x14ac:dyDescent="0.3">
      <c r="A95" s="73">
        <v>92</v>
      </c>
      <c r="B95" s="74" t="s">
        <v>586</v>
      </c>
      <c r="C95" s="74" t="s">
        <v>676</v>
      </c>
      <c r="D95" s="74" t="s">
        <v>675</v>
      </c>
      <c r="E95" s="76">
        <v>95</v>
      </c>
      <c r="F95" s="76">
        <v>95</v>
      </c>
      <c r="G95" s="113">
        <v>0</v>
      </c>
      <c r="H95" s="77" t="s">
        <v>405</v>
      </c>
      <c r="I95" s="77">
        <v>34.85</v>
      </c>
      <c r="J95" s="77">
        <v>212.74</v>
      </c>
      <c r="K95" s="106">
        <v>44657</v>
      </c>
      <c r="L95" s="74" t="s">
        <v>587</v>
      </c>
      <c r="M95" s="74"/>
      <c r="N95" s="78"/>
      <c r="O95" s="78"/>
      <c r="P95" s="74"/>
      <c r="Q95" s="74"/>
      <c r="R95" s="81" t="s">
        <v>32</v>
      </c>
    </row>
    <row r="96" spans="1:18" s="1" customFormat="1" ht="45" customHeight="1" x14ac:dyDescent="0.3">
      <c r="A96" s="73">
        <v>93</v>
      </c>
      <c r="B96" s="74" t="s">
        <v>588</v>
      </c>
      <c r="C96" s="74" t="s">
        <v>674</v>
      </c>
      <c r="D96" s="74" t="s">
        <v>673</v>
      </c>
      <c r="E96" s="76">
        <v>218</v>
      </c>
      <c r="F96" s="76"/>
      <c r="G96" s="76"/>
      <c r="H96" s="77"/>
      <c r="I96" s="77"/>
      <c r="J96" s="77"/>
      <c r="K96" s="106">
        <v>44750</v>
      </c>
      <c r="L96" s="74" t="s">
        <v>589</v>
      </c>
      <c r="M96" s="74"/>
      <c r="N96" s="78"/>
      <c r="O96" s="78"/>
      <c r="P96" s="74"/>
      <c r="Q96" s="74"/>
      <c r="R96" s="81" t="s">
        <v>32</v>
      </c>
    </row>
    <row r="97" spans="1:18" s="1" customFormat="1" ht="45" customHeight="1" x14ac:dyDescent="0.3">
      <c r="A97" s="73">
        <v>94</v>
      </c>
      <c r="B97" s="74" t="s">
        <v>590</v>
      </c>
      <c r="C97" s="118" t="s">
        <v>672</v>
      </c>
      <c r="D97" s="74" t="s">
        <v>671</v>
      </c>
      <c r="E97" s="76">
        <v>104</v>
      </c>
      <c r="F97" s="76">
        <v>104</v>
      </c>
      <c r="G97" s="76">
        <v>0</v>
      </c>
      <c r="H97" s="77" t="s">
        <v>405</v>
      </c>
      <c r="I97" s="77">
        <v>36.56</v>
      </c>
      <c r="J97" s="77">
        <v>249.88</v>
      </c>
      <c r="K97" s="106">
        <v>44750</v>
      </c>
      <c r="L97" s="74" t="s">
        <v>591</v>
      </c>
      <c r="M97" s="74"/>
      <c r="N97" s="78"/>
      <c r="O97" s="78"/>
      <c r="P97" s="74"/>
      <c r="Q97" s="74"/>
      <c r="R97" s="81" t="s">
        <v>32</v>
      </c>
    </row>
    <row r="98" spans="1:18" s="70" customFormat="1" ht="45" customHeight="1" x14ac:dyDescent="0.3">
      <c r="A98" s="73">
        <v>95</v>
      </c>
      <c r="B98" s="74" t="s">
        <v>592</v>
      </c>
      <c r="C98" s="135" t="s">
        <v>670</v>
      </c>
      <c r="D98" s="74" t="s">
        <v>669</v>
      </c>
      <c r="E98" s="76">
        <v>210</v>
      </c>
      <c r="F98" s="76">
        <v>210</v>
      </c>
      <c r="G98" s="76" t="s">
        <v>21</v>
      </c>
      <c r="H98" s="77" t="s">
        <v>720</v>
      </c>
      <c r="I98" s="77">
        <v>27.6</v>
      </c>
      <c r="J98" s="77">
        <v>229.74</v>
      </c>
      <c r="K98" s="106">
        <v>44868</v>
      </c>
      <c r="L98" s="74" t="s">
        <v>593</v>
      </c>
      <c r="M98" s="74"/>
      <c r="N98" s="78"/>
      <c r="O98" s="78"/>
      <c r="P98" s="74"/>
      <c r="Q98" s="74"/>
      <c r="R98" s="81" t="s">
        <v>32</v>
      </c>
    </row>
    <row r="99" spans="1:18" s="70" customFormat="1" ht="45" customHeight="1" x14ac:dyDescent="0.3">
      <c r="A99" s="73">
        <v>96</v>
      </c>
      <c r="B99" s="74" t="s">
        <v>594</v>
      </c>
      <c r="C99" s="136" t="s">
        <v>668</v>
      </c>
      <c r="D99" s="118" t="s">
        <v>667</v>
      </c>
      <c r="E99" s="76">
        <v>62</v>
      </c>
      <c r="F99" s="76">
        <v>62</v>
      </c>
      <c r="G99" s="76">
        <v>0</v>
      </c>
      <c r="H99" s="77" t="s">
        <v>666</v>
      </c>
      <c r="I99" s="77">
        <v>35.25</v>
      </c>
      <c r="J99" s="77">
        <v>248.04</v>
      </c>
      <c r="K99" s="106">
        <v>44820</v>
      </c>
      <c r="L99" s="74" t="s">
        <v>595</v>
      </c>
      <c r="M99" s="106">
        <v>45833</v>
      </c>
      <c r="N99" s="78"/>
      <c r="O99" s="78"/>
      <c r="P99" s="74"/>
      <c r="Q99" s="74"/>
      <c r="R99" s="81" t="s">
        <v>64</v>
      </c>
    </row>
    <row r="100" spans="1:18" s="1" customFormat="1" ht="45" customHeight="1" x14ac:dyDescent="0.3">
      <c r="A100" s="73">
        <v>97</v>
      </c>
      <c r="B100" s="137" t="s">
        <v>596</v>
      </c>
      <c r="C100" s="138" t="s">
        <v>665</v>
      </c>
      <c r="D100" s="118" t="s">
        <v>664</v>
      </c>
      <c r="E100" s="139">
        <v>72</v>
      </c>
      <c r="F100" s="76">
        <v>72</v>
      </c>
      <c r="G100" s="113">
        <v>0</v>
      </c>
      <c r="H100" s="77" t="s">
        <v>405</v>
      </c>
      <c r="I100" s="77"/>
      <c r="J100" s="77"/>
      <c r="K100" s="106">
        <v>44818</v>
      </c>
      <c r="L100" s="74" t="s">
        <v>597</v>
      </c>
      <c r="M100" s="74"/>
      <c r="N100" s="78"/>
      <c r="O100" s="78"/>
      <c r="P100" s="74"/>
      <c r="Q100" s="74"/>
      <c r="R100" s="81" t="s">
        <v>32</v>
      </c>
    </row>
    <row r="101" spans="1:18" s="1" customFormat="1" ht="45" customHeight="1" x14ac:dyDescent="0.3">
      <c r="A101" s="73">
        <v>98</v>
      </c>
      <c r="B101" s="137" t="s">
        <v>598</v>
      </c>
      <c r="C101" s="140" t="s">
        <v>832</v>
      </c>
      <c r="D101" s="141" t="s">
        <v>663</v>
      </c>
      <c r="E101" s="139">
        <v>238</v>
      </c>
      <c r="F101" s="76">
        <v>238</v>
      </c>
      <c r="G101" s="76"/>
      <c r="H101" s="77" t="s">
        <v>470</v>
      </c>
      <c r="I101" s="77">
        <v>31.78</v>
      </c>
      <c r="J101" s="77">
        <v>249.58</v>
      </c>
      <c r="K101" s="106">
        <v>44923</v>
      </c>
      <c r="L101" s="74" t="s">
        <v>599</v>
      </c>
      <c r="M101" s="106">
        <v>45918</v>
      </c>
      <c r="N101" s="78"/>
      <c r="O101" s="78"/>
      <c r="P101" s="74"/>
      <c r="Q101" s="74"/>
      <c r="R101" s="81" t="s">
        <v>64</v>
      </c>
    </row>
    <row r="102" spans="1:18" s="1" customFormat="1" ht="45" customHeight="1" x14ac:dyDescent="0.3">
      <c r="A102" s="73">
        <v>99</v>
      </c>
      <c r="B102" s="142" t="s">
        <v>600</v>
      </c>
      <c r="C102" s="88" t="s">
        <v>601</v>
      </c>
      <c r="D102" s="74" t="s">
        <v>662</v>
      </c>
      <c r="E102" s="143">
        <v>142</v>
      </c>
      <c r="F102" s="76">
        <v>142</v>
      </c>
      <c r="G102" s="143">
        <v>0</v>
      </c>
      <c r="H102" s="144" t="s">
        <v>405</v>
      </c>
      <c r="I102" s="145"/>
      <c r="J102" s="77"/>
      <c r="K102" s="106">
        <v>44960</v>
      </c>
      <c r="L102" s="74" t="s">
        <v>602</v>
      </c>
      <c r="M102" s="74"/>
      <c r="N102" s="78"/>
      <c r="O102" s="78"/>
      <c r="P102" s="74"/>
      <c r="Q102" s="74"/>
      <c r="R102" s="146" t="s">
        <v>32</v>
      </c>
    </row>
    <row r="103" spans="1:18" s="1" customFormat="1" ht="45" customHeight="1" x14ac:dyDescent="0.3">
      <c r="A103" s="73">
        <v>100</v>
      </c>
      <c r="B103" s="74" t="s">
        <v>603</v>
      </c>
      <c r="C103" s="88" t="s">
        <v>661</v>
      </c>
      <c r="D103" s="74" t="s">
        <v>660</v>
      </c>
      <c r="E103" s="76">
        <v>73</v>
      </c>
      <c r="F103" s="76">
        <v>73</v>
      </c>
      <c r="G103" s="76"/>
      <c r="H103" s="77" t="s">
        <v>35</v>
      </c>
      <c r="I103" s="77">
        <v>33.85</v>
      </c>
      <c r="J103" s="77">
        <v>229.57</v>
      </c>
      <c r="K103" s="106">
        <v>44956</v>
      </c>
      <c r="L103" s="74" t="s">
        <v>604</v>
      </c>
      <c r="M103" s="106">
        <v>46097</v>
      </c>
      <c r="N103" s="78"/>
      <c r="O103" s="78"/>
      <c r="P103" s="74"/>
      <c r="Q103" s="74"/>
      <c r="R103" s="81" t="s">
        <v>64</v>
      </c>
    </row>
    <row r="104" spans="1:18" s="1" customFormat="1" ht="45" customHeight="1" x14ac:dyDescent="0.3">
      <c r="A104" s="73">
        <v>101</v>
      </c>
      <c r="B104" s="74" t="s">
        <v>605</v>
      </c>
      <c r="C104" s="88" t="s">
        <v>659</v>
      </c>
      <c r="D104" s="74" t="s">
        <v>658</v>
      </c>
      <c r="E104" s="76">
        <v>39</v>
      </c>
      <c r="F104" s="76">
        <v>39</v>
      </c>
      <c r="G104" s="76"/>
      <c r="H104" s="77" t="s">
        <v>35</v>
      </c>
      <c r="I104" s="77">
        <v>42.82</v>
      </c>
      <c r="J104" s="77">
        <v>223.16</v>
      </c>
      <c r="K104" s="106">
        <v>45124</v>
      </c>
      <c r="L104" s="74" t="s">
        <v>606</v>
      </c>
      <c r="M104" s="74"/>
      <c r="N104" s="78"/>
      <c r="O104" s="78"/>
      <c r="P104" s="74"/>
      <c r="Q104" s="74"/>
      <c r="R104" s="81" t="s">
        <v>32</v>
      </c>
    </row>
    <row r="105" spans="1:18" s="70" customFormat="1" ht="45" customHeight="1" x14ac:dyDescent="0.3">
      <c r="A105" s="73">
        <v>102</v>
      </c>
      <c r="B105" s="74" t="s">
        <v>607</v>
      </c>
      <c r="C105" s="88" t="s">
        <v>657</v>
      </c>
      <c r="D105" s="74" t="s">
        <v>656</v>
      </c>
      <c r="E105" s="76">
        <v>40</v>
      </c>
      <c r="F105" s="76">
        <v>40</v>
      </c>
      <c r="G105" s="76" t="s">
        <v>21</v>
      </c>
      <c r="H105" s="77" t="s">
        <v>35</v>
      </c>
      <c r="I105" s="77">
        <v>30.31</v>
      </c>
      <c r="J105" s="77">
        <v>229.89</v>
      </c>
      <c r="K105" s="74" t="s">
        <v>608</v>
      </c>
      <c r="L105" s="74" t="s">
        <v>609</v>
      </c>
      <c r="M105" s="74"/>
      <c r="N105" s="78"/>
      <c r="O105" s="78"/>
      <c r="P105" s="74"/>
      <c r="Q105" s="74"/>
      <c r="R105" s="81" t="s">
        <v>32</v>
      </c>
    </row>
    <row r="106" spans="1:18" s="1" customFormat="1" ht="45" customHeight="1" x14ac:dyDescent="0.3">
      <c r="A106" s="73">
        <v>103</v>
      </c>
      <c r="B106" s="118" t="s">
        <v>610</v>
      </c>
      <c r="C106" s="138" t="s">
        <v>655</v>
      </c>
      <c r="D106" s="118" t="s">
        <v>654</v>
      </c>
      <c r="E106" s="119">
        <v>152</v>
      </c>
      <c r="F106" s="119">
        <v>152</v>
      </c>
      <c r="G106" s="119">
        <v>0</v>
      </c>
      <c r="H106" s="120" t="s">
        <v>627</v>
      </c>
      <c r="I106" s="120"/>
      <c r="J106" s="147"/>
      <c r="K106" s="121">
        <v>45448</v>
      </c>
      <c r="L106" s="118" t="s">
        <v>611</v>
      </c>
      <c r="M106" s="118"/>
      <c r="N106" s="122"/>
      <c r="O106" s="122"/>
      <c r="P106" s="118"/>
      <c r="Q106" s="142"/>
      <c r="R106" s="123" t="s">
        <v>32</v>
      </c>
    </row>
    <row r="107" spans="1:18" s="1" customFormat="1" ht="45" customHeight="1" x14ac:dyDescent="0.3">
      <c r="A107" s="73">
        <v>104</v>
      </c>
      <c r="B107" s="118" t="s">
        <v>612</v>
      </c>
      <c r="C107" s="138" t="s">
        <v>653</v>
      </c>
      <c r="D107" s="118" t="s">
        <v>652</v>
      </c>
      <c r="E107" s="148">
        <v>80</v>
      </c>
      <c r="F107" s="148">
        <v>80</v>
      </c>
      <c r="G107" s="113">
        <v>0</v>
      </c>
      <c r="H107" s="120" t="s">
        <v>35</v>
      </c>
      <c r="I107" s="120">
        <v>45.96</v>
      </c>
      <c r="J107" s="77">
        <v>599.67999999999995</v>
      </c>
      <c r="K107" s="121">
        <v>45616</v>
      </c>
      <c r="L107" s="118" t="s">
        <v>613</v>
      </c>
      <c r="M107" s="118"/>
      <c r="N107" s="122"/>
      <c r="O107" s="122"/>
      <c r="P107" s="118"/>
      <c r="Q107" s="142"/>
      <c r="R107" s="81" t="s">
        <v>32</v>
      </c>
    </row>
    <row r="108" spans="1:18" s="1" customFormat="1" ht="45" customHeight="1" x14ac:dyDescent="0.3">
      <c r="A108" s="73">
        <v>105</v>
      </c>
      <c r="B108" s="118" t="s">
        <v>614</v>
      </c>
      <c r="C108" s="138" t="s">
        <v>651</v>
      </c>
      <c r="D108" s="118" t="s">
        <v>650</v>
      </c>
      <c r="E108" s="148">
        <v>299</v>
      </c>
      <c r="F108" s="148"/>
      <c r="G108" s="148"/>
      <c r="H108" s="120" t="s">
        <v>615</v>
      </c>
      <c r="I108" s="120"/>
      <c r="J108" s="147"/>
      <c r="K108" s="121">
        <v>45639</v>
      </c>
      <c r="L108" s="118" t="s">
        <v>616</v>
      </c>
      <c r="M108" s="118"/>
      <c r="N108" s="122"/>
      <c r="O108" s="122"/>
      <c r="P108" s="118"/>
      <c r="Q108" s="142"/>
      <c r="R108" s="123" t="s">
        <v>32</v>
      </c>
    </row>
    <row r="109" spans="1:18" s="1" customFormat="1" ht="45" customHeight="1" x14ac:dyDescent="0.3">
      <c r="A109" s="73">
        <v>106</v>
      </c>
      <c r="B109" s="74" t="s">
        <v>649</v>
      </c>
      <c r="C109" s="74" t="s">
        <v>648</v>
      </c>
      <c r="D109" s="74" t="s">
        <v>647</v>
      </c>
      <c r="E109" s="76">
        <v>218</v>
      </c>
      <c r="F109" s="76">
        <v>218</v>
      </c>
      <c r="G109" s="76">
        <v>0</v>
      </c>
      <c r="H109" s="77" t="s">
        <v>642</v>
      </c>
      <c r="I109" s="77">
        <v>35.64</v>
      </c>
      <c r="J109" s="77">
        <v>331.8</v>
      </c>
      <c r="K109" s="106">
        <v>44519</v>
      </c>
      <c r="L109" s="74" t="s">
        <v>646</v>
      </c>
      <c r="M109" s="74"/>
      <c r="N109" s="78"/>
      <c r="O109" s="78"/>
      <c r="P109" s="74"/>
      <c r="Q109" s="74"/>
      <c r="R109" s="81" t="s">
        <v>15</v>
      </c>
    </row>
    <row r="110" spans="1:18" s="1" customFormat="1" ht="45" customHeight="1" x14ac:dyDescent="0.3">
      <c r="A110" s="73">
        <v>107</v>
      </c>
      <c r="B110" s="118" t="s">
        <v>645</v>
      </c>
      <c r="C110" s="138" t="s">
        <v>644</v>
      </c>
      <c r="D110" s="118" t="s">
        <v>643</v>
      </c>
      <c r="E110" s="148">
        <v>230</v>
      </c>
      <c r="F110" s="148"/>
      <c r="G110" s="148"/>
      <c r="H110" s="120" t="s">
        <v>642</v>
      </c>
      <c r="I110" s="120"/>
      <c r="J110" s="147"/>
      <c r="K110" s="121">
        <v>45588</v>
      </c>
      <c r="L110" s="118" t="s">
        <v>641</v>
      </c>
      <c r="M110" s="118"/>
      <c r="N110" s="122"/>
      <c r="O110" s="122"/>
      <c r="P110" s="118"/>
      <c r="Q110" s="149"/>
      <c r="R110" s="123" t="s">
        <v>15</v>
      </c>
    </row>
    <row r="111" spans="1:18" s="1" customFormat="1" ht="45" customHeight="1" x14ac:dyDescent="0.3">
      <c r="A111" s="73">
        <v>108</v>
      </c>
      <c r="B111" s="118" t="s">
        <v>640</v>
      </c>
      <c r="C111" s="138" t="s">
        <v>639</v>
      </c>
      <c r="D111" s="118" t="s">
        <v>638</v>
      </c>
      <c r="E111" s="148">
        <v>184</v>
      </c>
      <c r="F111" s="148">
        <v>184</v>
      </c>
      <c r="G111" s="148"/>
      <c r="H111" s="77" t="s">
        <v>627</v>
      </c>
      <c r="I111" s="77">
        <v>59.8</v>
      </c>
      <c r="J111" s="150">
        <v>249.55</v>
      </c>
      <c r="K111" s="106">
        <v>44518</v>
      </c>
      <c r="L111" s="74" t="s">
        <v>833</v>
      </c>
      <c r="M111" s="106">
        <v>45772</v>
      </c>
      <c r="N111" s="78"/>
      <c r="O111" s="78"/>
      <c r="P111" s="74"/>
      <c r="Q111" s="141"/>
      <c r="R111" s="123" t="s">
        <v>64</v>
      </c>
    </row>
    <row r="112" spans="1:18" s="1" customFormat="1" ht="45" customHeight="1" x14ac:dyDescent="0.3">
      <c r="A112" s="73">
        <v>109</v>
      </c>
      <c r="B112" s="118" t="s">
        <v>637</v>
      </c>
      <c r="C112" s="88" t="s">
        <v>834</v>
      </c>
      <c r="D112" s="118" t="s">
        <v>636</v>
      </c>
      <c r="E112" s="148"/>
      <c r="F112" s="148"/>
      <c r="G112" s="148"/>
      <c r="H112" s="120"/>
      <c r="I112" s="77"/>
      <c r="J112" s="151"/>
      <c r="K112" s="106">
        <v>45786</v>
      </c>
      <c r="L112" s="74" t="s">
        <v>635</v>
      </c>
      <c r="M112" s="74"/>
      <c r="N112" s="78"/>
      <c r="O112" s="78"/>
      <c r="P112" s="74"/>
      <c r="Q112" s="137"/>
      <c r="R112" s="74" t="s">
        <v>32</v>
      </c>
    </row>
    <row r="113" spans="1:18" s="1" customFormat="1" ht="45" customHeight="1" x14ac:dyDescent="0.3">
      <c r="A113" s="73">
        <v>110</v>
      </c>
      <c r="B113" s="137" t="s">
        <v>634</v>
      </c>
      <c r="C113" s="88" t="s">
        <v>633</v>
      </c>
      <c r="D113" s="74" t="s">
        <v>632</v>
      </c>
      <c r="E113" s="75"/>
      <c r="F113" s="75"/>
      <c r="G113" s="75"/>
      <c r="H113" s="77"/>
      <c r="I113" s="77"/>
      <c r="J113" s="77"/>
      <c r="K113" s="106">
        <v>45804</v>
      </c>
      <c r="L113" s="74" t="s">
        <v>631</v>
      </c>
      <c r="M113" s="74"/>
      <c r="N113" s="78"/>
      <c r="O113" s="78"/>
      <c r="P113" s="74"/>
      <c r="Q113" s="152"/>
      <c r="R113" s="153" t="s">
        <v>15</v>
      </c>
    </row>
    <row r="114" spans="1:18" s="1" customFormat="1" ht="45" customHeight="1" x14ac:dyDescent="0.3">
      <c r="A114" s="73">
        <v>111</v>
      </c>
      <c r="B114" s="142" t="s">
        <v>630</v>
      </c>
      <c r="C114" s="154" t="s">
        <v>629</v>
      </c>
      <c r="D114" s="153" t="s">
        <v>628</v>
      </c>
      <c r="E114" s="155">
        <v>109</v>
      </c>
      <c r="F114" s="155">
        <v>109</v>
      </c>
      <c r="G114" s="155">
        <v>0</v>
      </c>
      <c r="H114" s="156" t="s">
        <v>627</v>
      </c>
      <c r="I114" s="156">
        <v>32.869999999999997</v>
      </c>
      <c r="J114" s="156">
        <v>247.32</v>
      </c>
      <c r="K114" s="157" t="s">
        <v>626</v>
      </c>
      <c r="L114" s="153" t="s">
        <v>902</v>
      </c>
      <c r="M114" s="157">
        <v>46022</v>
      </c>
      <c r="N114" s="158"/>
      <c r="O114" s="158"/>
      <c r="P114" s="74"/>
      <c r="Q114" s="152"/>
      <c r="R114" s="165" t="s">
        <v>386</v>
      </c>
    </row>
    <row r="115" spans="1:18" s="1" customFormat="1" ht="45" customHeight="1" x14ac:dyDescent="0.3">
      <c r="A115" s="73">
        <v>112</v>
      </c>
      <c r="B115" s="142" t="s">
        <v>903</v>
      </c>
      <c r="C115" s="154"/>
      <c r="D115" s="153" t="s">
        <v>904</v>
      </c>
      <c r="E115" s="155">
        <v>118</v>
      </c>
      <c r="F115" s="155">
        <v>118</v>
      </c>
      <c r="G115" s="155" t="s">
        <v>21</v>
      </c>
      <c r="H115" s="156" t="s">
        <v>627</v>
      </c>
      <c r="I115" s="156"/>
      <c r="J115" s="156"/>
      <c r="K115" s="157">
        <v>42782</v>
      </c>
      <c r="L115" s="153" t="s">
        <v>905</v>
      </c>
      <c r="M115" s="157">
        <v>43553</v>
      </c>
      <c r="N115" s="159">
        <v>43776</v>
      </c>
      <c r="O115" s="158"/>
      <c r="P115" s="106">
        <v>44519</v>
      </c>
      <c r="Q115" s="160">
        <v>44831</v>
      </c>
      <c r="R115" s="165" t="s">
        <v>818</v>
      </c>
    </row>
    <row r="116" spans="1:18" s="1" customFormat="1" ht="43.5" customHeight="1" x14ac:dyDescent="0.3">
      <c r="A116" s="166" t="s">
        <v>930</v>
      </c>
      <c r="B116" s="74" t="s">
        <v>931</v>
      </c>
      <c r="C116" s="88" t="s">
        <v>932</v>
      </c>
      <c r="D116" s="74" t="s">
        <v>933</v>
      </c>
      <c r="E116" s="75">
        <v>89</v>
      </c>
      <c r="F116" s="75">
        <v>89</v>
      </c>
      <c r="G116" s="75"/>
      <c r="H116" s="77" t="s">
        <v>666</v>
      </c>
      <c r="I116" s="77">
        <v>24.89</v>
      </c>
      <c r="J116" s="77">
        <v>229.96</v>
      </c>
      <c r="K116" s="106">
        <v>46149</v>
      </c>
      <c r="L116" s="74" t="s">
        <v>934</v>
      </c>
      <c r="M116" s="106"/>
      <c r="N116" s="110"/>
      <c r="O116" s="78"/>
      <c r="P116" s="106"/>
      <c r="Q116" s="106"/>
      <c r="R116" s="81" t="s">
        <v>15</v>
      </c>
    </row>
    <row r="117" spans="1:18" ht="54.75" customHeight="1" thickBot="1" x14ac:dyDescent="0.35">
      <c r="A117" s="180" t="s">
        <v>31</v>
      </c>
      <c r="B117" s="181"/>
      <c r="C117" s="181"/>
      <c r="D117" s="181"/>
      <c r="E117" s="181"/>
      <c r="F117" s="181"/>
      <c r="G117" s="181"/>
      <c r="H117" s="181"/>
      <c r="I117" s="12"/>
      <c r="J117" s="12"/>
      <c r="K117" s="12"/>
      <c r="L117" s="12"/>
      <c r="M117" s="12"/>
      <c r="N117" s="12"/>
      <c r="O117" s="12"/>
      <c r="P117" s="12"/>
      <c r="Q117" s="12"/>
      <c r="R117" s="13"/>
    </row>
  </sheetData>
  <autoFilter ref="A3:R116" xr:uid="{00000000-0009-0000-0000-000003000000}"/>
  <mergeCells count="15">
    <mergeCell ref="A117:H117"/>
    <mergeCell ref="A1:R1"/>
    <mergeCell ref="A2:A3"/>
    <mergeCell ref="B2:B3"/>
    <mergeCell ref="C2:C3"/>
    <mergeCell ref="D2:D3"/>
    <mergeCell ref="E2:G2"/>
    <mergeCell ref="H2:J2"/>
    <mergeCell ref="K2:L2"/>
    <mergeCell ref="M2:M3"/>
    <mergeCell ref="N2:N3"/>
    <mergeCell ref="O2:O3"/>
    <mergeCell ref="P2:P3"/>
    <mergeCell ref="Q2:Q3"/>
    <mergeCell ref="R2:R3"/>
  </mergeCells>
  <phoneticPr fontId="2" type="noConversion"/>
  <printOptions horizontalCentered="1"/>
  <pageMargins left="0.43307086614173229" right="0.43307086614173229" top="0.59055118110236227" bottom="0.47244094488188981" header="0.15748031496062992" footer="0.15748031496062992"/>
  <pageSetup paperSize="9" scale="64" fitToHeight="0" orientation="landscape" r:id="rId1"/>
  <headerFooter>
    <oddFooter>&amp;C&amp;P/&amp;N</oddFooter>
  </headerFooter>
  <rowBreaks count="5" manualBreakCount="5">
    <brk id="16" max="17" man="1"/>
    <brk id="42" max="17" man="1"/>
    <brk id="82" max="17" man="1"/>
    <brk id="93" max="17" man="1"/>
    <brk id="108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35"/>
  <sheetViews>
    <sheetView view="pageBreakPreview" zoomScale="70" zoomScaleNormal="100" zoomScaleSheetLayoutView="70" workbookViewId="0">
      <pane xSplit="2" ySplit="3" topLeftCell="C4" activePane="bottomRight" state="frozen"/>
      <selection activeCell="F9" sqref="F9"/>
      <selection pane="topRight" activeCell="F9" sqref="F9"/>
      <selection pane="bottomLeft" activeCell="F9" sqref="F9"/>
      <selection pane="bottomRight" activeCell="K5" sqref="K5"/>
    </sheetView>
  </sheetViews>
  <sheetFormatPr defaultRowHeight="13.5" x14ac:dyDescent="0.15"/>
  <cols>
    <col min="1" max="1" width="5.77734375" style="5" customWidth="1"/>
    <col min="2" max="2" width="15" style="5" customWidth="1"/>
    <col min="3" max="3" width="14.21875" style="5" customWidth="1"/>
    <col min="4" max="4" width="16.21875" style="5" customWidth="1"/>
    <col min="5" max="10" width="8.77734375" style="5" customWidth="1"/>
    <col min="11" max="11" width="9.77734375" style="5" customWidth="1"/>
    <col min="12" max="12" width="9.44140625" style="5" customWidth="1"/>
    <col min="13" max="13" width="8.77734375" style="5" customWidth="1"/>
    <col min="14" max="14" width="10.44140625" style="5" customWidth="1"/>
    <col min="15" max="15" width="10.109375" style="5" customWidth="1"/>
    <col min="16" max="19" width="8.77734375" style="5" customWidth="1"/>
    <col min="20" max="20" width="12.5546875" style="5" customWidth="1"/>
    <col min="21" max="16384" width="8.88671875" style="5"/>
  </cols>
  <sheetData>
    <row r="1" spans="1:20" ht="60.75" customHeight="1" thickBot="1" x14ac:dyDescent="0.2">
      <c r="A1" s="177" t="s">
        <v>34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</row>
    <row r="2" spans="1:20" s="6" customFormat="1" ht="30" customHeight="1" x14ac:dyDescent="0.15">
      <c r="A2" s="172" t="s">
        <v>0</v>
      </c>
      <c r="B2" s="167" t="s">
        <v>16</v>
      </c>
      <c r="C2" s="167" t="s">
        <v>22</v>
      </c>
      <c r="D2" s="167" t="s">
        <v>1</v>
      </c>
      <c r="E2" s="167" t="s">
        <v>2</v>
      </c>
      <c r="F2" s="167"/>
      <c r="G2" s="167"/>
      <c r="H2" s="174" t="s">
        <v>3</v>
      </c>
      <c r="I2" s="174"/>
      <c r="J2" s="174"/>
      <c r="K2" s="167" t="s">
        <v>17</v>
      </c>
      <c r="L2" s="174" t="s">
        <v>15</v>
      </c>
      <c r="M2" s="174"/>
      <c r="N2" s="167" t="s">
        <v>61</v>
      </c>
      <c r="O2" s="167" t="s">
        <v>25</v>
      </c>
      <c r="P2" s="174" t="s">
        <v>4</v>
      </c>
      <c r="Q2" s="167" t="s">
        <v>5</v>
      </c>
      <c r="R2" s="167" t="s">
        <v>29</v>
      </c>
      <c r="S2" s="167" t="s">
        <v>6</v>
      </c>
      <c r="T2" s="179" t="s">
        <v>18</v>
      </c>
    </row>
    <row r="3" spans="1:20" s="6" customFormat="1" ht="30" customHeight="1" x14ac:dyDescent="0.15">
      <c r="A3" s="173"/>
      <c r="B3" s="168"/>
      <c r="C3" s="169"/>
      <c r="D3" s="168"/>
      <c r="E3" s="25" t="s">
        <v>7</v>
      </c>
      <c r="F3" s="25" t="s">
        <v>14</v>
      </c>
      <c r="G3" s="25" t="s">
        <v>8</v>
      </c>
      <c r="H3" s="25" t="s">
        <v>9</v>
      </c>
      <c r="I3" s="26" t="s">
        <v>10</v>
      </c>
      <c r="J3" s="26" t="s">
        <v>11</v>
      </c>
      <c r="K3" s="169"/>
      <c r="L3" s="25" t="s">
        <v>12</v>
      </c>
      <c r="M3" s="25" t="s">
        <v>13</v>
      </c>
      <c r="N3" s="169"/>
      <c r="O3" s="169"/>
      <c r="P3" s="168"/>
      <c r="Q3" s="168"/>
      <c r="R3" s="169"/>
      <c r="S3" s="169"/>
      <c r="T3" s="176"/>
    </row>
    <row r="4" spans="1:20" s="1" customFormat="1" ht="39.950000000000003" customHeight="1" x14ac:dyDescent="0.3">
      <c r="A4" s="73">
        <v>1</v>
      </c>
      <c r="B4" s="74" t="s">
        <v>183</v>
      </c>
      <c r="C4" s="74" t="s">
        <v>184</v>
      </c>
      <c r="D4" s="74" t="s">
        <v>185</v>
      </c>
      <c r="E4" s="75">
        <f>F4+G4</f>
        <v>87</v>
      </c>
      <c r="F4" s="75">
        <v>87</v>
      </c>
      <c r="G4" s="76">
        <v>0</v>
      </c>
      <c r="H4" s="77" t="s">
        <v>186</v>
      </c>
      <c r="I4" s="77">
        <v>36.06</v>
      </c>
      <c r="J4" s="77">
        <v>229.55</v>
      </c>
      <c r="K4" s="77" t="s">
        <v>187</v>
      </c>
      <c r="L4" s="74" t="s">
        <v>188</v>
      </c>
      <c r="M4" s="78" t="s">
        <v>189</v>
      </c>
      <c r="N4" s="74" t="s">
        <v>190</v>
      </c>
      <c r="O4" s="74" t="s">
        <v>191</v>
      </c>
      <c r="P4" s="78" t="s">
        <v>192</v>
      </c>
      <c r="Q4" s="79" t="s">
        <v>193</v>
      </c>
      <c r="R4" s="80" t="s">
        <v>194</v>
      </c>
      <c r="S4" s="80" t="s">
        <v>195</v>
      </c>
      <c r="T4" s="81" t="s">
        <v>818</v>
      </c>
    </row>
    <row r="5" spans="1:20" s="1" customFormat="1" ht="39.950000000000003" customHeight="1" x14ac:dyDescent="0.3">
      <c r="A5" s="73">
        <v>2</v>
      </c>
      <c r="B5" s="74" t="s">
        <v>196</v>
      </c>
      <c r="C5" s="74" t="s">
        <v>197</v>
      </c>
      <c r="D5" s="74" t="s">
        <v>198</v>
      </c>
      <c r="E5" s="75">
        <v>219</v>
      </c>
      <c r="F5" s="75">
        <v>219</v>
      </c>
      <c r="G5" s="76">
        <v>0</v>
      </c>
      <c r="H5" s="77" t="s">
        <v>199</v>
      </c>
      <c r="I5" s="77">
        <v>20.8</v>
      </c>
      <c r="J5" s="77">
        <v>249.97</v>
      </c>
      <c r="K5" s="77" t="s">
        <v>200</v>
      </c>
      <c r="L5" s="74" t="s">
        <v>201</v>
      </c>
      <c r="M5" s="78" t="s">
        <v>202</v>
      </c>
      <c r="N5" s="74" t="s">
        <v>203</v>
      </c>
      <c r="O5" s="74" t="s">
        <v>204</v>
      </c>
      <c r="P5" s="78" t="s">
        <v>205</v>
      </c>
      <c r="Q5" s="78" t="s">
        <v>206</v>
      </c>
      <c r="R5" s="80" t="s">
        <v>207</v>
      </c>
      <c r="S5" s="80" t="s">
        <v>208</v>
      </c>
      <c r="T5" s="81" t="s">
        <v>818</v>
      </c>
    </row>
    <row r="6" spans="1:20" s="1" customFormat="1" ht="39.950000000000003" customHeight="1" x14ac:dyDescent="0.3">
      <c r="A6" s="73">
        <v>3</v>
      </c>
      <c r="B6" s="74" t="s">
        <v>209</v>
      </c>
      <c r="C6" s="74" t="s">
        <v>210</v>
      </c>
      <c r="D6" s="74" t="s">
        <v>865</v>
      </c>
      <c r="E6" s="75">
        <v>189</v>
      </c>
      <c r="F6" s="75">
        <v>189</v>
      </c>
      <c r="G6" s="76" t="s">
        <v>21</v>
      </c>
      <c r="H6" s="77" t="s">
        <v>211</v>
      </c>
      <c r="I6" s="77">
        <v>40.340000000000003</v>
      </c>
      <c r="J6" s="77">
        <v>248.01</v>
      </c>
      <c r="K6" s="77" t="s">
        <v>212</v>
      </c>
      <c r="L6" s="74" t="s">
        <v>213</v>
      </c>
      <c r="M6" s="78" t="s">
        <v>214</v>
      </c>
      <c r="N6" s="74" t="s">
        <v>215</v>
      </c>
      <c r="O6" s="74" t="s">
        <v>216</v>
      </c>
      <c r="P6" s="78"/>
      <c r="Q6" s="79"/>
      <c r="R6" s="80"/>
      <c r="S6" s="80"/>
      <c r="T6" s="81" t="s">
        <v>64</v>
      </c>
    </row>
    <row r="7" spans="1:20" s="1" customFormat="1" ht="39.950000000000003" customHeight="1" x14ac:dyDescent="0.3">
      <c r="A7" s="73">
        <v>4</v>
      </c>
      <c r="B7" s="74" t="s">
        <v>217</v>
      </c>
      <c r="C7" s="74" t="s">
        <v>218</v>
      </c>
      <c r="D7" s="74" t="s">
        <v>219</v>
      </c>
      <c r="E7" s="75">
        <v>136</v>
      </c>
      <c r="F7" s="75">
        <v>136</v>
      </c>
      <c r="G7" s="76" t="s">
        <v>21</v>
      </c>
      <c r="H7" s="77" t="s">
        <v>220</v>
      </c>
      <c r="I7" s="77">
        <v>27.99</v>
      </c>
      <c r="J7" s="77">
        <v>249.38</v>
      </c>
      <c r="K7" s="77" t="s">
        <v>221</v>
      </c>
      <c r="L7" s="78" t="s">
        <v>222</v>
      </c>
      <c r="M7" s="78" t="s">
        <v>223</v>
      </c>
      <c r="N7" s="74" t="s">
        <v>224</v>
      </c>
      <c r="O7" s="74" t="s">
        <v>216</v>
      </c>
      <c r="P7" s="79" t="s">
        <v>225</v>
      </c>
      <c r="Q7" s="79" t="s">
        <v>226</v>
      </c>
      <c r="R7" s="80" t="s">
        <v>227</v>
      </c>
      <c r="S7" s="80"/>
      <c r="T7" s="81" t="s">
        <v>305</v>
      </c>
    </row>
    <row r="8" spans="1:20" s="1" customFormat="1" ht="39.950000000000003" customHeight="1" x14ac:dyDescent="0.3">
      <c r="A8" s="73">
        <v>5</v>
      </c>
      <c r="B8" s="74" t="s">
        <v>228</v>
      </c>
      <c r="C8" s="74" t="s">
        <v>229</v>
      </c>
      <c r="D8" s="74" t="s">
        <v>230</v>
      </c>
      <c r="E8" s="75">
        <v>79</v>
      </c>
      <c r="F8" s="75">
        <v>79</v>
      </c>
      <c r="G8" s="76">
        <v>0</v>
      </c>
      <c r="H8" s="77" t="s">
        <v>231</v>
      </c>
      <c r="I8" s="77">
        <v>28.67</v>
      </c>
      <c r="J8" s="77">
        <v>229.88</v>
      </c>
      <c r="K8" s="77" t="s">
        <v>232</v>
      </c>
      <c r="L8" s="78" t="s">
        <v>233</v>
      </c>
      <c r="M8" s="78" t="s">
        <v>234</v>
      </c>
      <c r="N8" s="74" t="s">
        <v>235</v>
      </c>
      <c r="O8" s="74" t="s">
        <v>236</v>
      </c>
      <c r="P8" s="78" t="s">
        <v>237</v>
      </c>
      <c r="Q8" s="79"/>
      <c r="R8" s="79" t="s">
        <v>238</v>
      </c>
      <c r="S8" s="80"/>
      <c r="T8" s="81" t="s">
        <v>305</v>
      </c>
    </row>
    <row r="9" spans="1:20" s="1" customFormat="1" ht="39.950000000000003" customHeight="1" x14ac:dyDescent="0.3">
      <c r="A9" s="73">
        <v>6</v>
      </c>
      <c r="B9" s="74" t="s">
        <v>239</v>
      </c>
      <c r="C9" s="74" t="s">
        <v>240</v>
      </c>
      <c r="D9" s="74" t="s">
        <v>241</v>
      </c>
      <c r="E9" s="75">
        <v>85</v>
      </c>
      <c r="F9" s="75">
        <v>85</v>
      </c>
      <c r="G9" s="76" t="s">
        <v>23</v>
      </c>
      <c r="H9" s="82" t="s">
        <v>242</v>
      </c>
      <c r="I9" s="82" t="s">
        <v>243</v>
      </c>
      <c r="J9" s="82" t="s">
        <v>244</v>
      </c>
      <c r="K9" s="83"/>
      <c r="L9" s="78" t="s">
        <v>245</v>
      </c>
      <c r="M9" s="78" t="s">
        <v>246</v>
      </c>
      <c r="N9" s="78" t="s">
        <v>247</v>
      </c>
      <c r="O9" s="74" t="s">
        <v>216</v>
      </c>
      <c r="P9" s="78"/>
      <c r="Q9" s="78"/>
      <c r="R9" s="78"/>
      <c r="S9" s="78"/>
      <c r="T9" s="81" t="s">
        <v>64</v>
      </c>
    </row>
    <row r="10" spans="1:20" s="1" customFormat="1" ht="39.950000000000003" customHeight="1" x14ac:dyDescent="0.3">
      <c r="A10" s="73">
        <v>7</v>
      </c>
      <c r="B10" s="74" t="s">
        <v>248</v>
      </c>
      <c r="C10" s="74" t="s">
        <v>249</v>
      </c>
      <c r="D10" s="74" t="s">
        <v>378</v>
      </c>
      <c r="E10" s="75">
        <v>42</v>
      </c>
      <c r="F10" s="75">
        <v>42</v>
      </c>
      <c r="G10" s="76" t="s">
        <v>21</v>
      </c>
      <c r="H10" s="77" t="s">
        <v>250</v>
      </c>
      <c r="I10" s="77">
        <v>47.12</v>
      </c>
      <c r="J10" s="77">
        <v>248.84</v>
      </c>
      <c r="K10" s="77" t="s">
        <v>251</v>
      </c>
      <c r="L10" s="74" t="s">
        <v>252</v>
      </c>
      <c r="M10" s="78" t="s">
        <v>253</v>
      </c>
      <c r="N10" s="74" t="s">
        <v>254</v>
      </c>
      <c r="O10" s="74" t="s">
        <v>216</v>
      </c>
      <c r="P10" s="78"/>
      <c r="Q10" s="79"/>
      <c r="R10" s="80"/>
      <c r="S10" s="80"/>
      <c r="T10" s="81" t="s">
        <v>64</v>
      </c>
    </row>
    <row r="11" spans="1:20" s="1" customFormat="1" ht="39.950000000000003" customHeight="1" x14ac:dyDescent="0.3">
      <c r="A11" s="73">
        <v>8</v>
      </c>
      <c r="B11" s="74" t="s">
        <v>255</v>
      </c>
      <c r="C11" s="74" t="s">
        <v>256</v>
      </c>
      <c r="D11" s="74" t="s">
        <v>257</v>
      </c>
      <c r="E11" s="75">
        <v>116</v>
      </c>
      <c r="F11" s="75">
        <v>116</v>
      </c>
      <c r="G11" s="76" t="s">
        <v>21</v>
      </c>
      <c r="H11" s="77" t="s">
        <v>258</v>
      </c>
      <c r="I11" s="77">
        <v>22.3</v>
      </c>
      <c r="J11" s="77">
        <v>249.85</v>
      </c>
      <c r="K11" s="83"/>
      <c r="L11" s="74" t="s">
        <v>259</v>
      </c>
      <c r="M11" s="78" t="s">
        <v>260</v>
      </c>
      <c r="N11" s="78" t="s">
        <v>917</v>
      </c>
      <c r="O11" s="74" t="s">
        <v>216</v>
      </c>
      <c r="P11" s="78"/>
      <c r="Q11" s="78"/>
      <c r="R11" s="78"/>
      <c r="S11" s="78"/>
      <c r="T11" s="81" t="s">
        <v>64</v>
      </c>
    </row>
    <row r="12" spans="1:20" s="1" customFormat="1" ht="39.950000000000003" customHeight="1" x14ac:dyDescent="0.3">
      <c r="A12" s="73">
        <v>9</v>
      </c>
      <c r="B12" s="74" t="s">
        <v>261</v>
      </c>
      <c r="C12" s="74" t="s">
        <v>262</v>
      </c>
      <c r="D12" s="74" t="s">
        <v>263</v>
      </c>
      <c r="E12" s="75">
        <v>102</v>
      </c>
      <c r="F12" s="75">
        <v>102</v>
      </c>
      <c r="G12" s="76" t="s">
        <v>21</v>
      </c>
      <c r="H12" s="77" t="s">
        <v>264</v>
      </c>
      <c r="I12" s="77">
        <v>23.18</v>
      </c>
      <c r="J12" s="77">
        <v>249.48</v>
      </c>
      <c r="K12" s="83"/>
      <c r="L12" s="74" t="s">
        <v>265</v>
      </c>
      <c r="M12" s="78" t="s">
        <v>266</v>
      </c>
      <c r="N12" s="74" t="s">
        <v>267</v>
      </c>
      <c r="O12" s="74" t="s">
        <v>216</v>
      </c>
      <c r="P12" s="78" t="s">
        <v>268</v>
      </c>
      <c r="Q12" s="78"/>
      <c r="R12" s="78" t="s">
        <v>269</v>
      </c>
      <c r="S12" s="78"/>
      <c r="T12" s="81" t="s">
        <v>305</v>
      </c>
    </row>
    <row r="13" spans="1:20" s="1" customFormat="1" ht="39.950000000000003" customHeight="1" x14ac:dyDescent="0.3">
      <c r="A13" s="73">
        <v>10</v>
      </c>
      <c r="B13" s="74" t="s">
        <v>270</v>
      </c>
      <c r="C13" s="74" t="s">
        <v>256</v>
      </c>
      <c r="D13" s="74" t="s">
        <v>379</v>
      </c>
      <c r="E13" s="75">
        <v>51</v>
      </c>
      <c r="F13" s="75">
        <v>51</v>
      </c>
      <c r="G13" s="76" t="s">
        <v>23</v>
      </c>
      <c r="H13" s="77" t="s">
        <v>271</v>
      </c>
      <c r="I13" s="77">
        <v>25.58</v>
      </c>
      <c r="J13" s="77">
        <v>249.61</v>
      </c>
      <c r="K13" s="83"/>
      <c r="L13" s="78" t="s">
        <v>272</v>
      </c>
      <c r="M13" s="78" t="s">
        <v>273</v>
      </c>
      <c r="N13" s="78" t="s">
        <v>917</v>
      </c>
      <c r="O13" s="74" t="s">
        <v>216</v>
      </c>
      <c r="P13" s="78"/>
      <c r="Q13" s="78"/>
      <c r="R13" s="78"/>
      <c r="S13" s="78"/>
      <c r="T13" s="81" t="s">
        <v>64</v>
      </c>
    </row>
    <row r="14" spans="1:20" s="1" customFormat="1" ht="39.950000000000003" customHeight="1" x14ac:dyDescent="0.3">
      <c r="A14" s="73">
        <v>11</v>
      </c>
      <c r="B14" s="74" t="s">
        <v>274</v>
      </c>
      <c r="C14" s="74" t="s">
        <v>275</v>
      </c>
      <c r="D14" s="74" t="s">
        <v>380</v>
      </c>
      <c r="E14" s="75">
        <v>155</v>
      </c>
      <c r="F14" s="75">
        <v>155</v>
      </c>
      <c r="G14" s="76" t="s">
        <v>23</v>
      </c>
      <c r="H14" s="77" t="s">
        <v>276</v>
      </c>
      <c r="I14" s="77">
        <v>41.1</v>
      </c>
      <c r="J14" s="77">
        <v>249.97</v>
      </c>
      <c r="K14" s="83"/>
      <c r="L14" s="74" t="s">
        <v>277</v>
      </c>
      <c r="M14" s="78" t="s">
        <v>906</v>
      </c>
      <c r="N14" s="78" t="s">
        <v>278</v>
      </c>
      <c r="O14" s="74" t="s">
        <v>216</v>
      </c>
      <c r="P14" s="78"/>
      <c r="Q14" s="78"/>
      <c r="R14" s="78"/>
      <c r="S14" s="78"/>
      <c r="T14" s="81" t="s">
        <v>64</v>
      </c>
    </row>
    <row r="15" spans="1:20" s="1" customFormat="1" ht="39.950000000000003" customHeight="1" x14ac:dyDescent="0.3">
      <c r="A15" s="73">
        <v>12</v>
      </c>
      <c r="B15" s="74" t="s">
        <v>279</v>
      </c>
      <c r="C15" s="74" t="s">
        <v>280</v>
      </c>
      <c r="D15" s="74" t="s">
        <v>381</v>
      </c>
      <c r="E15" s="75">
        <v>189</v>
      </c>
      <c r="F15" s="75">
        <v>189</v>
      </c>
      <c r="G15" s="76" t="s">
        <v>23</v>
      </c>
      <c r="H15" s="77" t="s">
        <v>281</v>
      </c>
      <c r="I15" s="77">
        <v>21.59</v>
      </c>
      <c r="J15" s="77">
        <v>249.48</v>
      </c>
      <c r="K15" s="83"/>
      <c r="L15" s="74" t="s">
        <v>282</v>
      </c>
      <c r="M15" s="78" t="s">
        <v>283</v>
      </c>
      <c r="N15" s="78" t="s">
        <v>284</v>
      </c>
      <c r="O15" s="74" t="s">
        <v>216</v>
      </c>
      <c r="P15" s="78" t="s">
        <v>285</v>
      </c>
      <c r="Q15" s="78" t="s">
        <v>286</v>
      </c>
      <c r="R15" s="78" t="s">
        <v>907</v>
      </c>
      <c r="S15" s="78"/>
      <c r="T15" s="81" t="s">
        <v>305</v>
      </c>
    </row>
    <row r="16" spans="1:20" s="1" customFormat="1" ht="39.950000000000003" customHeight="1" x14ac:dyDescent="0.3">
      <c r="A16" s="73">
        <v>13</v>
      </c>
      <c r="B16" s="74" t="s">
        <v>287</v>
      </c>
      <c r="C16" s="74" t="s">
        <v>288</v>
      </c>
      <c r="D16" s="74" t="s">
        <v>382</v>
      </c>
      <c r="E16" s="75">
        <v>95</v>
      </c>
      <c r="F16" s="75">
        <v>95</v>
      </c>
      <c r="G16" s="76" t="s">
        <v>23</v>
      </c>
      <c r="H16" s="77" t="s">
        <v>21</v>
      </c>
      <c r="I16" s="77" t="s">
        <v>21</v>
      </c>
      <c r="J16" s="77" t="s">
        <v>21</v>
      </c>
      <c r="K16" s="83"/>
      <c r="L16" s="78" t="s">
        <v>289</v>
      </c>
      <c r="M16" s="78" t="s">
        <v>290</v>
      </c>
      <c r="N16" s="78"/>
      <c r="O16" s="78"/>
      <c r="P16" s="78"/>
      <c r="Q16" s="78"/>
      <c r="R16" s="78"/>
      <c r="S16" s="78"/>
      <c r="T16" s="81" t="s">
        <v>32</v>
      </c>
    </row>
    <row r="17" spans="1:20" s="1" customFormat="1" ht="39.950000000000003" customHeight="1" x14ac:dyDescent="0.3">
      <c r="A17" s="73">
        <v>14</v>
      </c>
      <c r="B17" s="74" t="s">
        <v>291</v>
      </c>
      <c r="C17" s="74" t="s">
        <v>292</v>
      </c>
      <c r="D17" s="74" t="s">
        <v>383</v>
      </c>
      <c r="E17" s="75">
        <v>162</v>
      </c>
      <c r="F17" s="75">
        <v>162</v>
      </c>
      <c r="G17" s="76" t="s">
        <v>23</v>
      </c>
      <c r="H17" s="77" t="s">
        <v>293</v>
      </c>
      <c r="I17" s="77">
        <v>27.07</v>
      </c>
      <c r="J17" s="77">
        <v>228.8</v>
      </c>
      <c r="K17" s="83"/>
      <c r="L17" s="74" t="s">
        <v>294</v>
      </c>
      <c r="M17" s="78" t="s">
        <v>908</v>
      </c>
      <c r="N17" s="78" t="s">
        <v>295</v>
      </c>
      <c r="O17" s="74" t="s">
        <v>216</v>
      </c>
      <c r="P17" s="78"/>
      <c r="Q17" s="78"/>
      <c r="R17" s="78"/>
      <c r="S17" s="78"/>
      <c r="T17" s="81" t="s">
        <v>64</v>
      </c>
    </row>
    <row r="18" spans="1:20" s="1" customFormat="1" ht="39.950000000000003" customHeight="1" x14ac:dyDescent="0.3">
      <c r="A18" s="73">
        <v>15</v>
      </c>
      <c r="B18" s="74" t="s">
        <v>296</v>
      </c>
      <c r="C18" s="74" t="s">
        <v>297</v>
      </c>
      <c r="D18" s="74" t="s">
        <v>298</v>
      </c>
      <c r="E18" s="75">
        <v>81</v>
      </c>
      <c r="F18" s="75">
        <v>81</v>
      </c>
      <c r="G18" s="76" t="s">
        <v>23</v>
      </c>
      <c r="H18" s="77" t="s">
        <v>299</v>
      </c>
      <c r="I18" s="77">
        <v>37.49</v>
      </c>
      <c r="J18" s="77">
        <v>249.09</v>
      </c>
      <c r="K18" s="83"/>
      <c r="L18" s="74" t="s">
        <v>300</v>
      </c>
      <c r="M18" s="78" t="s">
        <v>301</v>
      </c>
      <c r="N18" s="78" t="s">
        <v>302</v>
      </c>
      <c r="O18" s="74" t="s">
        <v>216</v>
      </c>
      <c r="P18" s="78" t="s">
        <v>303</v>
      </c>
      <c r="Q18" s="78"/>
      <c r="R18" s="78" t="s">
        <v>304</v>
      </c>
      <c r="S18" s="78"/>
      <c r="T18" s="81" t="s">
        <v>305</v>
      </c>
    </row>
    <row r="19" spans="1:20" s="1" customFormat="1" ht="39.950000000000003" customHeight="1" x14ac:dyDescent="0.3">
      <c r="A19" s="73">
        <v>16</v>
      </c>
      <c r="B19" s="74" t="s">
        <v>306</v>
      </c>
      <c r="C19" s="74" t="s">
        <v>307</v>
      </c>
      <c r="D19" s="74" t="s">
        <v>384</v>
      </c>
      <c r="E19" s="75">
        <v>29</v>
      </c>
      <c r="F19" s="75">
        <v>29</v>
      </c>
      <c r="G19" s="76" t="s">
        <v>21</v>
      </c>
      <c r="H19" s="77" t="s">
        <v>308</v>
      </c>
      <c r="I19" s="77">
        <v>59.38</v>
      </c>
      <c r="J19" s="77">
        <v>206.66</v>
      </c>
      <c r="K19" s="83"/>
      <c r="L19" s="78" t="s">
        <v>309</v>
      </c>
      <c r="M19" s="78" t="s">
        <v>310</v>
      </c>
      <c r="N19" s="78" t="s">
        <v>311</v>
      </c>
      <c r="O19" s="74" t="s">
        <v>216</v>
      </c>
      <c r="P19" s="78" t="s">
        <v>312</v>
      </c>
      <c r="Q19" s="78"/>
      <c r="R19" s="78"/>
      <c r="S19" s="78"/>
      <c r="T19" s="81" t="s">
        <v>4</v>
      </c>
    </row>
    <row r="20" spans="1:20" s="1" customFormat="1" ht="39.950000000000003" customHeight="1" x14ac:dyDescent="0.3">
      <c r="A20" s="73">
        <v>17</v>
      </c>
      <c r="B20" s="74" t="s">
        <v>313</v>
      </c>
      <c r="C20" s="74" t="s">
        <v>314</v>
      </c>
      <c r="D20" s="74" t="s">
        <v>315</v>
      </c>
      <c r="E20" s="75">
        <v>61</v>
      </c>
      <c r="F20" s="75">
        <v>61</v>
      </c>
      <c r="G20" s="76" t="s">
        <v>23</v>
      </c>
      <c r="H20" s="77" t="s">
        <v>220</v>
      </c>
      <c r="I20" s="77">
        <v>34.64</v>
      </c>
      <c r="J20" s="77">
        <v>249.93</v>
      </c>
      <c r="K20" s="83"/>
      <c r="L20" s="74" t="s">
        <v>316</v>
      </c>
      <c r="M20" s="78" t="s">
        <v>317</v>
      </c>
      <c r="N20" s="78" t="s">
        <v>625</v>
      </c>
      <c r="O20" s="74" t="s">
        <v>216</v>
      </c>
      <c r="P20" s="78"/>
      <c r="Q20" s="78"/>
      <c r="R20" s="78"/>
      <c r="S20" s="78"/>
      <c r="T20" s="81" t="s">
        <v>64</v>
      </c>
    </row>
    <row r="21" spans="1:20" s="1" customFormat="1" ht="39.950000000000003" customHeight="1" x14ac:dyDescent="0.3">
      <c r="A21" s="73">
        <v>18</v>
      </c>
      <c r="B21" s="74" t="s">
        <v>318</v>
      </c>
      <c r="C21" s="74" t="s">
        <v>319</v>
      </c>
      <c r="D21" s="74" t="s">
        <v>320</v>
      </c>
      <c r="E21" s="75">
        <v>174</v>
      </c>
      <c r="F21" s="75">
        <v>174</v>
      </c>
      <c r="G21" s="76" t="s">
        <v>21</v>
      </c>
      <c r="H21" s="77" t="s">
        <v>321</v>
      </c>
      <c r="I21" s="77">
        <v>26.53</v>
      </c>
      <c r="J21" s="77">
        <v>199.97</v>
      </c>
      <c r="K21" s="83"/>
      <c r="L21" s="78" t="s">
        <v>322</v>
      </c>
      <c r="M21" s="78" t="s">
        <v>323</v>
      </c>
      <c r="N21" s="78" t="s">
        <v>324</v>
      </c>
      <c r="O21" s="74" t="s">
        <v>216</v>
      </c>
      <c r="P21" s="78"/>
      <c r="Q21" s="78"/>
      <c r="R21" s="78"/>
      <c r="S21" s="78"/>
      <c r="T21" s="81" t="s">
        <v>64</v>
      </c>
    </row>
    <row r="22" spans="1:20" s="1" customFormat="1" ht="39.950000000000003" customHeight="1" x14ac:dyDescent="0.3">
      <c r="A22" s="73">
        <v>19</v>
      </c>
      <c r="B22" s="74" t="s">
        <v>325</v>
      </c>
      <c r="C22" s="74" t="s">
        <v>326</v>
      </c>
      <c r="D22" s="74" t="s">
        <v>385</v>
      </c>
      <c r="E22" s="75">
        <v>104</v>
      </c>
      <c r="F22" s="75">
        <v>104</v>
      </c>
      <c r="G22" s="76" t="s">
        <v>23</v>
      </c>
      <c r="H22" s="77" t="s">
        <v>186</v>
      </c>
      <c r="I22" s="77">
        <v>31.07</v>
      </c>
      <c r="J22" s="77">
        <v>245.99</v>
      </c>
      <c r="K22" s="83"/>
      <c r="L22" s="78" t="s">
        <v>327</v>
      </c>
      <c r="M22" s="78" t="s">
        <v>909</v>
      </c>
      <c r="N22" s="78" t="s">
        <v>328</v>
      </c>
      <c r="O22" s="74" t="s">
        <v>216</v>
      </c>
      <c r="P22" s="78" t="s">
        <v>329</v>
      </c>
      <c r="Q22" s="78"/>
      <c r="R22" s="78"/>
      <c r="S22" s="78"/>
      <c r="T22" s="81" t="s">
        <v>4</v>
      </c>
    </row>
    <row r="23" spans="1:20" s="1" customFormat="1" ht="39.950000000000003" customHeight="1" x14ac:dyDescent="0.3">
      <c r="A23" s="73">
        <v>20</v>
      </c>
      <c r="B23" s="74" t="s">
        <v>330</v>
      </c>
      <c r="C23" s="74" t="s">
        <v>331</v>
      </c>
      <c r="D23" s="74" t="s">
        <v>332</v>
      </c>
      <c r="E23" s="75">
        <v>50</v>
      </c>
      <c r="F23" s="75">
        <v>50</v>
      </c>
      <c r="G23" s="76" t="s">
        <v>21</v>
      </c>
      <c r="H23" s="77" t="s">
        <v>333</v>
      </c>
      <c r="I23" s="77">
        <v>43.83</v>
      </c>
      <c r="J23" s="77">
        <v>246.34</v>
      </c>
      <c r="K23" s="83"/>
      <c r="L23" s="78" t="s">
        <v>334</v>
      </c>
      <c r="M23" s="78" t="s">
        <v>335</v>
      </c>
      <c r="N23" s="78" t="s">
        <v>336</v>
      </c>
      <c r="O23" s="74" t="s">
        <v>216</v>
      </c>
      <c r="P23" s="78"/>
      <c r="Q23" s="78"/>
      <c r="R23" s="78"/>
      <c r="S23" s="78"/>
      <c r="T23" s="81" t="s">
        <v>64</v>
      </c>
    </row>
    <row r="24" spans="1:20" s="1" customFormat="1" ht="39.950000000000003" customHeight="1" x14ac:dyDescent="0.3">
      <c r="A24" s="73">
        <v>21</v>
      </c>
      <c r="B24" s="74" t="s">
        <v>337</v>
      </c>
      <c r="C24" s="74" t="s">
        <v>338</v>
      </c>
      <c r="D24" s="74" t="s">
        <v>339</v>
      </c>
      <c r="E24" s="75">
        <v>128</v>
      </c>
      <c r="F24" s="75">
        <v>128</v>
      </c>
      <c r="G24" s="76" t="s">
        <v>21</v>
      </c>
      <c r="H24" s="77" t="s">
        <v>299</v>
      </c>
      <c r="I24" s="77">
        <v>30.84</v>
      </c>
      <c r="J24" s="77">
        <v>248.28</v>
      </c>
      <c r="K24" s="83"/>
      <c r="L24" s="78" t="s">
        <v>340</v>
      </c>
      <c r="M24" s="78" t="s">
        <v>341</v>
      </c>
      <c r="N24" s="78" t="s">
        <v>342</v>
      </c>
      <c r="O24" s="74" t="s">
        <v>216</v>
      </c>
      <c r="P24" s="78" t="s">
        <v>944</v>
      </c>
      <c r="Q24" s="78"/>
      <c r="R24" s="78"/>
      <c r="S24" s="78"/>
      <c r="T24" s="81" t="s">
        <v>4</v>
      </c>
    </row>
    <row r="25" spans="1:20" s="1" customFormat="1" ht="39.950000000000003" customHeight="1" x14ac:dyDescent="0.3">
      <c r="A25" s="73">
        <v>22</v>
      </c>
      <c r="B25" s="74" t="s">
        <v>343</v>
      </c>
      <c r="C25" s="74" t="s">
        <v>344</v>
      </c>
      <c r="D25" s="74" t="s">
        <v>345</v>
      </c>
      <c r="E25" s="75">
        <v>46</v>
      </c>
      <c r="F25" s="75">
        <v>46</v>
      </c>
      <c r="G25" s="76" t="s">
        <v>21</v>
      </c>
      <c r="H25" s="77" t="s">
        <v>220</v>
      </c>
      <c r="I25" s="77">
        <v>38.79</v>
      </c>
      <c r="J25" s="77">
        <v>229.47</v>
      </c>
      <c r="K25" s="83"/>
      <c r="L25" s="78" t="s">
        <v>346</v>
      </c>
      <c r="M25" s="78" t="s">
        <v>347</v>
      </c>
      <c r="N25" s="78" t="s">
        <v>348</v>
      </c>
      <c r="O25" s="74" t="s">
        <v>216</v>
      </c>
      <c r="P25" s="78"/>
      <c r="Q25" s="78"/>
      <c r="R25" s="78"/>
      <c r="S25" s="78"/>
      <c r="T25" s="81" t="s">
        <v>64</v>
      </c>
    </row>
    <row r="26" spans="1:20" s="1" customFormat="1" ht="39.950000000000003" customHeight="1" x14ac:dyDescent="0.3">
      <c r="A26" s="73">
        <v>23</v>
      </c>
      <c r="B26" s="74" t="s">
        <v>349</v>
      </c>
      <c r="C26" s="74" t="s">
        <v>350</v>
      </c>
      <c r="D26" s="74" t="s">
        <v>351</v>
      </c>
      <c r="E26" s="75">
        <v>190</v>
      </c>
      <c r="F26" s="75">
        <v>190</v>
      </c>
      <c r="G26" s="76" t="s">
        <v>21</v>
      </c>
      <c r="H26" s="77" t="s">
        <v>21</v>
      </c>
      <c r="I26" s="77" t="s">
        <v>21</v>
      </c>
      <c r="J26" s="77" t="s">
        <v>21</v>
      </c>
      <c r="K26" s="83"/>
      <c r="L26" s="78" t="s">
        <v>352</v>
      </c>
      <c r="M26" s="78" t="s">
        <v>353</v>
      </c>
      <c r="N26" s="78"/>
      <c r="O26" s="78"/>
      <c r="P26" s="78"/>
      <c r="Q26" s="78"/>
      <c r="R26" s="78"/>
      <c r="S26" s="78"/>
      <c r="T26" s="81" t="s">
        <v>32</v>
      </c>
    </row>
    <row r="27" spans="1:20" s="1" customFormat="1" ht="39.950000000000003" customHeight="1" x14ac:dyDescent="0.3">
      <c r="A27" s="73">
        <v>24</v>
      </c>
      <c r="B27" s="74" t="s">
        <v>354</v>
      </c>
      <c r="C27" s="74" t="s">
        <v>355</v>
      </c>
      <c r="D27" s="74" t="s">
        <v>356</v>
      </c>
      <c r="E27" s="75">
        <v>98</v>
      </c>
      <c r="F27" s="75">
        <v>98</v>
      </c>
      <c r="G27" s="76" t="s">
        <v>21</v>
      </c>
      <c r="H27" s="77" t="s">
        <v>829</v>
      </c>
      <c r="I27" s="77">
        <v>29.76</v>
      </c>
      <c r="J27" s="77">
        <v>246.97</v>
      </c>
      <c r="K27" s="83"/>
      <c r="L27" s="78" t="s">
        <v>830</v>
      </c>
      <c r="M27" s="78" t="s">
        <v>357</v>
      </c>
      <c r="N27" s="78" t="s">
        <v>625</v>
      </c>
      <c r="O27" s="74" t="s">
        <v>216</v>
      </c>
      <c r="P27" s="78"/>
      <c r="Q27" s="78"/>
      <c r="R27" s="78"/>
      <c r="S27" s="78"/>
      <c r="T27" s="81" t="s">
        <v>64</v>
      </c>
    </row>
    <row r="28" spans="1:20" s="1" customFormat="1" ht="39.950000000000003" customHeight="1" x14ac:dyDescent="0.3">
      <c r="A28" s="73">
        <v>25</v>
      </c>
      <c r="B28" s="74" t="s">
        <v>358</v>
      </c>
      <c r="C28" s="74" t="s">
        <v>359</v>
      </c>
      <c r="D28" s="74" t="s">
        <v>866</v>
      </c>
      <c r="E28" s="76">
        <v>202</v>
      </c>
      <c r="F28" s="76">
        <v>202</v>
      </c>
      <c r="G28" s="76" t="s">
        <v>21</v>
      </c>
      <c r="H28" s="77" t="s">
        <v>864</v>
      </c>
      <c r="I28" s="77">
        <v>23.66</v>
      </c>
      <c r="J28" s="77">
        <v>247.02</v>
      </c>
      <c r="K28" s="83"/>
      <c r="L28" s="78" t="s">
        <v>360</v>
      </c>
      <c r="M28" s="78" t="s">
        <v>361</v>
      </c>
      <c r="N28" s="78" t="s">
        <v>624</v>
      </c>
      <c r="O28" s="74" t="s">
        <v>216</v>
      </c>
      <c r="P28" s="78"/>
      <c r="Q28" s="78"/>
      <c r="R28" s="78"/>
      <c r="S28" s="78"/>
      <c r="T28" s="81" t="s">
        <v>64</v>
      </c>
    </row>
    <row r="29" spans="1:20" s="1" customFormat="1" ht="39.950000000000003" customHeight="1" x14ac:dyDescent="0.3">
      <c r="A29" s="73">
        <v>26</v>
      </c>
      <c r="B29" s="74" t="s">
        <v>362</v>
      </c>
      <c r="C29" s="74" t="s">
        <v>363</v>
      </c>
      <c r="D29" s="74" t="s">
        <v>364</v>
      </c>
      <c r="E29" s="76">
        <v>60</v>
      </c>
      <c r="F29" s="76">
        <v>60</v>
      </c>
      <c r="G29" s="76"/>
      <c r="H29" s="77" t="s">
        <v>21</v>
      </c>
      <c r="I29" s="77" t="s">
        <v>21</v>
      </c>
      <c r="J29" s="77" t="s">
        <v>21</v>
      </c>
      <c r="K29" s="83"/>
      <c r="L29" s="78" t="s">
        <v>365</v>
      </c>
      <c r="M29" s="78" t="s">
        <v>366</v>
      </c>
      <c r="N29" s="78"/>
      <c r="O29" s="78"/>
      <c r="P29" s="78"/>
      <c r="Q29" s="78"/>
      <c r="R29" s="78"/>
      <c r="S29" s="78"/>
      <c r="T29" s="81" t="s">
        <v>858</v>
      </c>
    </row>
    <row r="30" spans="1:20" s="1" customFormat="1" ht="39.950000000000003" customHeight="1" x14ac:dyDescent="0.3">
      <c r="A30" s="73">
        <v>27</v>
      </c>
      <c r="B30" s="74" t="s">
        <v>367</v>
      </c>
      <c r="C30" s="74" t="s">
        <v>368</v>
      </c>
      <c r="D30" s="74" t="s">
        <v>369</v>
      </c>
      <c r="E30" s="76">
        <v>166</v>
      </c>
      <c r="F30" s="76">
        <v>166</v>
      </c>
      <c r="G30" s="76" t="s">
        <v>21</v>
      </c>
      <c r="H30" s="77" t="s">
        <v>21</v>
      </c>
      <c r="I30" s="77" t="s">
        <v>21</v>
      </c>
      <c r="J30" s="77" t="s">
        <v>21</v>
      </c>
      <c r="K30" s="83"/>
      <c r="L30" s="78" t="s">
        <v>370</v>
      </c>
      <c r="M30" s="78" t="s">
        <v>910</v>
      </c>
      <c r="N30" s="78"/>
      <c r="O30" s="78"/>
      <c r="P30" s="78"/>
      <c r="Q30" s="78"/>
      <c r="R30" s="78"/>
      <c r="S30" s="78"/>
      <c r="T30" s="81" t="s">
        <v>15</v>
      </c>
    </row>
    <row r="31" spans="1:20" s="1" customFormat="1" ht="39.950000000000003" customHeight="1" x14ac:dyDescent="0.3">
      <c r="A31" s="73">
        <v>28</v>
      </c>
      <c r="B31" s="74" t="s">
        <v>371</v>
      </c>
      <c r="C31" s="74" t="s">
        <v>372</v>
      </c>
      <c r="D31" s="74" t="s">
        <v>373</v>
      </c>
      <c r="E31" s="76" t="s">
        <v>21</v>
      </c>
      <c r="F31" s="76" t="s">
        <v>21</v>
      </c>
      <c r="G31" s="76" t="s">
        <v>21</v>
      </c>
      <c r="H31" s="77" t="s">
        <v>21</v>
      </c>
      <c r="I31" s="77" t="s">
        <v>21</v>
      </c>
      <c r="J31" s="77" t="s">
        <v>21</v>
      </c>
      <c r="K31" s="83"/>
      <c r="L31" s="74" t="s">
        <v>374</v>
      </c>
      <c r="M31" s="78" t="s">
        <v>375</v>
      </c>
      <c r="N31" s="78"/>
      <c r="O31" s="78"/>
      <c r="P31" s="78"/>
      <c r="Q31" s="78"/>
      <c r="R31" s="78"/>
      <c r="S31" s="78"/>
      <c r="T31" s="81" t="s">
        <v>15</v>
      </c>
    </row>
    <row r="32" spans="1:20" s="1" customFormat="1" ht="39.950000000000003" customHeight="1" x14ac:dyDescent="0.3">
      <c r="A32" s="73">
        <v>29</v>
      </c>
      <c r="B32" s="74" t="s">
        <v>376</v>
      </c>
      <c r="C32" s="74" t="s">
        <v>21</v>
      </c>
      <c r="D32" s="74" t="s">
        <v>21</v>
      </c>
      <c r="E32" s="76" t="s">
        <v>21</v>
      </c>
      <c r="F32" s="76" t="s">
        <v>21</v>
      </c>
      <c r="G32" s="76" t="s">
        <v>21</v>
      </c>
      <c r="H32" s="77" t="s">
        <v>21</v>
      </c>
      <c r="I32" s="77" t="s">
        <v>21</v>
      </c>
      <c r="J32" s="77" t="s">
        <v>21</v>
      </c>
      <c r="K32" s="83"/>
      <c r="L32" s="74" t="s">
        <v>377</v>
      </c>
      <c r="M32" s="78" t="s">
        <v>21</v>
      </c>
      <c r="N32" s="78"/>
      <c r="O32" s="78"/>
      <c r="P32" s="78"/>
      <c r="Q32" s="78"/>
      <c r="R32" s="78"/>
      <c r="S32" s="78"/>
      <c r="T32" s="81" t="s">
        <v>15</v>
      </c>
    </row>
    <row r="33" spans="1:20" s="1" customFormat="1" ht="39.950000000000003" customHeight="1" x14ac:dyDescent="0.3">
      <c r="A33" s="73">
        <v>30</v>
      </c>
      <c r="B33" s="74" t="s">
        <v>918</v>
      </c>
      <c r="C33" s="74" t="s">
        <v>21</v>
      </c>
      <c r="D33" s="74" t="s">
        <v>919</v>
      </c>
      <c r="E33" s="76">
        <v>108</v>
      </c>
      <c r="F33" s="76">
        <v>108</v>
      </c>
      <c r="G33" s="76" t="s">
        <v>21</v>
      </c>
      <c r="H33" s="77" t="s">
        <v>211</v>
      </c>
      <c r="I33" s="77">
        <v>24.39</v>
      </c>
      <c r="J33" s="77">
        <v>249.88</v>
      </c>
      <c r="K33" s="83"/>
      <c r="L33" s="74" t="s">
        <v>920</v>
      </c>
      <c r="M33" s="78" t="s">
        <v>921</v>
      </c>
      <c r="N33" s="78" t="s">
        <v>922</v>
      </c>
      <c r="O33" s="74" t="s">
        <v>216</v>
      </c>
      <c r="P33" s="78" t="s">
        <v>923</v>
      </c>
      <c r="Q33" s="78" t="s">
        <v>924</v>
      </c>
      <c r="R33" s="78" t="s">
        <v>925</v>
      </c>
      <c r="S33" s="78" t="s">
        <v>926</v>
      </c>
      <c r="T33" s="81" t="s">
        <v>818</v>
      </c>
    </row>
    <row r="34" spans="1:20" s="9" customFormat="1" ht="35.25" customHeight="1" x14ac:dyDescent="0.3">
      <c r="A34" s="184" t="s">
        <v>31</v>
      </c>
      <c r="B34" s="184"/>
      <c r="C34" s="184"/>
      <c r="D34" s="184"/>
      <c r="E34" s="184"/>
      <c r="F34" s="184"/>
      <c r="G34" s="184"/>
      <c r="H34" s="184"/>
      <c r="I34" s="184"/>
      <c r="J34" s="7"/>
      <c r="K34" s="7"/>
      <c r="L34" s="7"/>
      <c r="M34" s="7"/>
      <c r="N34" s="7"/>
      <c r="O34" s="7"/>
      <c r="P34" s="7"/>
      <c r="Q34" s="7"/>
      <c r="R34" s="7"/>
      <c r="S34" s="7"/>
      <c r="T34" s="8"/>
    </row>
    <row r="35" spans="1:20" x14ac:dyDescent="0.15">
      <c r="L35" s="10"/>
      <c r="N35" s="10"/>
      <c r="P35" s="10"/>
      <c r="R35" s="10"/>
    </row>
  </sheetData>
  <autoFilter ref="A3:T34" xr:uid="{00000000-0009-0000-0000-000004000000}"/>
  <mergeCells count="17">
    <mergeCell ref="S2:S3"/>
    <mergeCell ref="T2:T3"/>
    <mergeCell ref="A1:T1"/>
    <mergeCell ref="A2:A3"/>
    <mergeCell ref="B2:B3"/>
    <mergeCell ref="C2:C3"/>
    <mergeCell ref="D2:D3"/>
    <mergeCell ref="E2:G2"/>
    <mergeCell ref="H2:J2"/>
    <mergeCell ref="K2:K3"/>
    <mergeCell ref="L2:M2"/>
    <mergeCell ref="N2:N3"/>
    <mergeCell ref="A34:I34"/>
    <mergeCell ref="O2:O3"/>
    <mergeCell ref="P2:P3"/>
    <mergeCell ref="Q2:Q3"/>
    <mergeCell ref="R2:R3"/>
  </mergeCells>
  <phoneticPr fontId="2" type="noConversion"/>
  <printOptions horizontalCentered="1"/>
  <pageMargins left="0.43307086614173229" right="0.43307086614173229" top="0.59055118110236227" bottom="0.47244094488188981" header="0.31496062992125984" footer="0.31496062992125984"/>
  <pageSetup paperSize="9" scale="60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총괄(홈페이지 게시용)</vt:lpstr>
      <vt:lpstr>재개발</vt:lpstr>
      <vt:lpstr>재건축</vt:lpstr>
      <vt:lpstr>가로주택정비</vt:lpstr>
      <vt:lpstr>소규모재건축</vt:lpstr>
      <vt:lpstr>가로주택정비!Print_Area</vt:lpstr>
      <vt:lpstr>소규모재건축!Print_Area</vt:lpstr>
      <vt:lpstr>재개발!Print_Area</vt:lpstr>
      <vt:lpstr>재건축!Print_Area</vt:lpstr>
      <vt:lpstr>가로주택정비!Print_Titles</vt:lpstr>
      <vt:lpstr>소규모재건축!Print_Titles</vt:lpstr>
      <vt:lpstr>재개발!Print_Titles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USER</cp:lastModifiedBy>
  <cp:lastPrinted>2023-10-05T08:20:59Z</cp:lastPrinted>
  <dcterms:created xsi:type="dcterms:W3CDTF">2006-08-31T00:27:53Z</dcterms:created>
  <dcterms:modified xsi:type="dcterms:W3CDTF">2026-07-02T06:58:18Z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